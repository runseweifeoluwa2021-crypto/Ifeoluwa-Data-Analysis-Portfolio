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ocuments\"/>
    </mc:Choice>
  </mc:AlternateContent>
  <xr:revisionPtr revIDLastSave="0" documentId="8_{584BD250-7C52-4D5C-AD7E-86A10F5962C5}" xr6:coauthVersionLast="47" xr6:coauthVersionMax="47" xr10:uidLastSave="{00000000-0000-0000-0000-000000000000}"/>
  <bookViews>
    <workbookView xWindow="-120" yWindow="-120" windowWidth="20730" windowHeight="11160" firstSheet="1" activeTab="4" xr2:uid="{8400D09A-6421-44ED-9D14-D1B998DA0E04}"/>
  </bookViews>
  <sheets>
    <sheet name="EMPLOYEEDATA" sheetId="1" r:id="rId1"/>
    <sheet name="SALARY" sheetId="2" r:id="rId2"/>
    <sheet name="SALARYSUMMARY" sheetId="3" r:id="rId3"/>
    <sheet name="STAFFWELFARE" sheetId="4" r:id="rId4"/>
    <sheet name="EXECUTIVESUMMARY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4" i="5" l="1"/>
  <c r="L13" i="5"/>
  <c r="L11" i="5"/>
  <c r="L10" i="5"/>
  <c r="L9" i="5"/>
  <c r="D88" i="5"/>
  <c r="E88" i="5"/>
  <c r="F88" i="5"/>
  <c r="C8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" i="5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" i="4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" i="3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9" i="2"/>
  <c r="K12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2" i="1"/>
  <c r="K83" i="1"/>
  <c r="K84" i="1"/>
  <c r="K85" i="1"/>
  <c r="K86" i="1"/>
  <c r="K87" i="1"/>
  <c r="K88" i="1"/>
  <c r="K89" i="1"/>
  <c r="K90" i="1"/>
  <c r="K11" i="1"/>
  <c r="C10" i="2"/>
  <c r="C12" i="2"/>
  <c r="C13" i="2"/>
  <c r="C14" i="2"/>
  <c r="C15" i="2"/>
  <c r="C16" i="2"/>
  <c r="C17" i="2"/>
  <c r="C18" i="2"/>
  <c r="C19" i="2"/>
  <c r="C20" i="2"/>
  <c r="C21" i="2"/>
  <c r="C23" i="2"/>
  <c r="C24" i="2"/>
  <c r="C25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2" i="2"/>
  <c r="C53" i="2"/>
  <c r="C54" i="2"/>
  <c r="C55" i="2"/>
  <c r="C56" i="2"/>
  <c r="C57" i="2"/>
  <c r="C58" i="2"/>
  <c r="C59" i="2"/>
  <c r="C60" i="2"/>
  <c r="C61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80" i="2"/>
  <c r="C81" i="2"/>
  <c r="C82" i="2"/>
  <c r="C83" i="2"/>
  <c r="C84" i="2"/>
  <c r="C85" i="2"/>
  <c r="C86" i="2"/>
  <c r="C87" i="2"/>
  <c r="C88" i="2"/>
  <c r="C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9" i="2"/>
  <c r="J12" i="1"/>
  <c r="J14" i="1"/>
  <c r="J15" i="1"/>
  <c r="J16" i="1"/>
  <c r="J17" i="1"/>
  <c r="J18" i="1"/>
  <c r="J19" i="1"/>
  <c r="J21" i="1"/>
  <c r="J22" i="1"/>
  <c r="J23" i="1"/>
  <c r="J25" i="1"/>
  <c r="J26" i="1"/>
  <c r="J27" i="1"/>
  <c r="J29" i="1"/>
  <c r="J30" i="1"/>
  <c r="J31" i="1"/>
  <c r="J32" i="1"/>
  <c r="J33" i="1"/>
  <c r="J34" i="1"/>
  <c r="J35" i="1"/>
  <c r="J36" i="1"/>
  <c r="J37" i="1"/>
  <c r="J38" i="1"/>
  <c r="J39" i="1"/>
  <c r="J40" i="1"/>
  <c r="J42" i="1"/>
  <c r="J43" i="1"/>
  <c r="J44" i="1"/>
  <c r="J45" i="1"/>
  <c r="J46" i="1"/>
  <c r="J47" i="1"/>
  <c r="J48" i="1"/>
  <c r="J49" i="1"/>
  <c r="J50" i="1"/>
  <c r="J51" i="1"/>
  <c r="J52" i="1"/>
  <c r="J54" i="1"/>
  <c r="J55" i="1"/>
  <c r="J56" i="1"/>
  <c r="J57" i="1"/>
  <c r="J58" i="1"/>
  <c r="J59" i="1"/>
  <c r="J60" i="1"/>
  <c r="J61" i="1"/>
  <c r="J62" i="1"/>
  <c r="J63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2" i="1"/>
  <c r="J83" i="1"/>
  <c r="J84" i="1"/>
  <c r="J85" i="1"/>
  <c r="J86" i="1"/>
  <c r="J87" i="1"/>
  <c r="J88" i="1"/>
  <c r="J89" i="1"/>
  <c r="J90" i="1"/>
  <c r="J11" i="1"/>
  <c r="I12" i="1"/>
  <c r="I13" i="1"/>
  <c r="K13" i="1" s="1"/>
  <c r="I14" i="1"/>
  <c r="I15" i="1"/>
  <c r="I16" i="1"/>
  <c r="I17" i="1"/>
  <c r="I18" i="1"/>
  <c r="I19" i="1"/>
  <c r="I20" i="1"/>
  <c r="J20" i="1" s="1"/>
  <c r="I21" i="1"/>
  <c r="I22" i="1"/>
  <c r="I23" i="1"/>
  <c r="I24" i="1"/>
  <c r="J24" i="1" s="1"/>
  <c r="I25" i="1"/>
  <c r="I26" i="1"/>
  <c r="I27" i="1"/>
  <c r="I28" i="1"/>
  <c r="J28" i="1" s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K41" i="1" s="1"/>
  <c r="I42" i="1"/>
  <c r="I43" i="1"/>
  <c r="I44" i="1"/>
  <c r="I45" i="1"/>
  <c r="I46" i="1"/>
  <c r="I47" i="1"/>
  <c r="I48" i="1"/>
  <c r="I49" i="1"/>
  <c r="I50" i="1"/>
  <c r="I51" i="1"/>
  <c r="I52" i="1"/>
  <c r="I53" i="1"/>
  <c r="C51" i="2" s="1"/>
  <c r="I54" i="1"/>
  <c r="I55" i="1"/>
  <c r="I56" i="1"/>
  <c r="I57" i="1"/>
  <c r="I58" i="1"/>
  <c r="I59" i="1"/>
  <c r="I60" i="1"/>
  <c r="I61" i="1"/>
  <c r="I62" i="1"/>
  <c r="I63" i="1"/>
  <c r="I64" i="1"/>
  <c r="J64" i="1" s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J81" i="1" s="1"/>
  <c r="I82" i="1"/>
  <c r="I83" i="1"/>
  <c r="I84" i="1"/>
  <c r="I85" i="1"/>
  <c r="I86" i="1"/>
  <c r="I87" i="1"/>
  <c r="I88" i="1"/>
  <c r="I89" i="1"/>
  <c r="I90" i="1"/>
  <c r="I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11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11" i="1"/>
  <c r="C26" i="2" l="1"/>
  <c r="C79" i="2"/>
  <c r="K81" i="1"/>
  <c r="C62" i="2"/>
  <c r="K64" i="1"/>
  <c r="J53" i="1"/>
  <c r="J41" i="1"/>
  <c r="C22" i="2"/>
  <c r="J13" i="1"/>
  <c r="C11" i="2"/>
</calcChain>
</file>

<file path=xl/sharedStrings.xml><?xml version="1.0" encoding="utf-8"?>
<sst xmlns="http://schemas.openxmlformats.org/spreadsheetml/2006/main" count="221" uniqueCount="115">
  <si>
    <r>
      <rPr>
        <b/>
        <sz val="14"/>
        <color theme="1"/>
        <rFont val="Calibri"/>
        <family val="2"/>
        <scheme val="minor"/>
      </rPr>
      <t>JURMOT VENTURES</t>
    </r>
    <r>
      <rPr>
        <b/>
        <sz val="11"/>
        <color theme="1"/>
        <rFont val="Calibri"/>
        <family val="2"/>
        <scheme val="minor"/>
      </rPr>
      <t xml:space="preserve">
</t>
    </r>
    <r>
      <rPr>
        <b/>
        <sz val="12"/>
        <color theme="1"/>
        <rFont val="Calibri"/>
        <family val="2"/>
        <scheme val="minor"/>
      </rPr>
      <t>NOMINAL ROLL
AGRIC IKORODU, LAGOS STATE</t>
    </r>
  </si>
  <si>
    <t>S/N</t>
  </si>
  <si>
    <t>NAMES</t>
  </si>
  <si>
    <t>RUNSEWE</t>
  </si>
  <si>
    <t>IFEOLUWA</t>
  </si>
  <si>
    <t>RUTH</t>
  </si>
  <si>
    <t>AYO</t>
  </si>
  <si>
    <t>OLA</t>
  </si>
  <si>
    <t>PONMILE</t>
  </si>
  <si>
    <t>DEVINE</t>
  </si>
  <si>
    <t>IMISI</t>
  </si>
  <si>
    <t>JAMES</t>
  </si>
  <si>
    <t>KENNY</t>
  </si>
  <si>
    <t>FAITH</t>
  </si>
  <si>
    <t>SEGUN</t>
  </si>
  <si>
    <t>TAIWO</t>
  </si>
  <si>
    <t>JUMOKE</t>
  </si>
  <si>
    <t>ISAAC</t>
  </si>
  <si>
    <t>ISREAL</t>
  </si>
  <si>
    <t>PEACE</t>
  </si>
  <si>
    <t>ROSE</t>
  </si>
  <si>
    <t>DELIGHT</t>
  </si>
  <si>
    <t>KELVIN</t>
  </si>
  <si>
    <t>JEDIDAH</t>
  </si>
  <si>
    <t>DANIEL</t>
  </si>
  <si>
    <t>MASON</t>
  </si>
  <si>
    <t>GIFT</t>
  </si>
  <si>
    <t>FAUSAT</t>
  </si>
  <si>
    <t>TOYOSI</t>
  </si>
  <si>
    <t>MOTUN</t>
  </si>
  <si>
    <t>MOYIN</t>
  </si>
  <si>
    <t>ODUN</t>
  </si>
  <si>
    <t>YOYIN</t>
  </si>
  <si>
    <t>OYIN</t>
  </si>
  <si>
    <t>SOLA</t>
  </si>
  <si>
    <t>EMMA</t>
  </si>
  <si>
    <t>SAM</t>
  </si>
  <si>
    <t>SEUN</t>
  </si>
  <si>
    <t>JOSEPH</t>
  </si>
  <si>
    <t>USMAN</t>
  </si>
  <si>
    <t>JAMAL</t>
  </si>
  <si>
    <t>TOSIN</t>
  </si>
  <si>
    <t>PELUMI</t>
  </si>
  <si>
    <t>FERANMI</t>
  </si>
  <si>
    <t>MARVY</t>
  </si>
  <si>
    <t>FAVOUR</t>
  </si>
  <si>
    <t>LOLA</t>
  </si>
  <si>
    <t>DAMI</t>
  </si>
  <si>
    <t>TOMI</t>
  </si>
  <si>
    <t>HAPINESS</t>
  </si>
  <si>
    <t>PRINCESS</t>
  </si>
  <si>
    <t>QUEEN</t>
  </si>
  <si>
    <t>GREATNESS</t>
  </si>
  <si>
    <t>KUKU</t>
  </si>
  <si>
    <t>SUNKANMI</t>
  </si>
  <si>
    <t>OYEDEJI</t>
  </si>
  <si>
    <t>ODUWOLE</t>
  </si>
  <si>
    <t>FEMI</t>
  </si>
  <si>
    <t>KEMI</t>
  </si>
  <si>
    <t>TOLANI</t>
  </si>
  <si>
    <t>ENIOLA</t>
  </si>
  <si>
    <t>VICKY</t>
  </si>
  <si>
    <t>ESSIE</t>
  </si>
  <si>
    <t>ELIZABETH</t>
  </si>
  <si>
    <t>LOVETH</t>
  </si>
  <si>
    <t>NIFEMI</t>
  </si>
  <si>
    <t>BANKOLE</t>
  </si>
  <si>
    <t>JOHN</t>
  </si>
  <si>
    <t>TOLU</t>
  </si>
  <si>
    <t>TAYO</t>
  </si>
  <si>
    <t>YEMI</t>
  </si>
  <si>
    <t>AYOBAMI</t>
  </si>
  <si>
    <t>DOYIN</t>
  </si>
  <si>
    <t>FESTUS</t>
  </si>
  <si>
    <t>FUNMI</t>
  </si>
  <si>
    <t>FARIDAT</t>
  </si>
  <si>
    <t>FEYI</t>
  </si>
  <si>
    <t>STEFFY</t>
  </si>
  <si>
    <t>LAMIDE</t>
  </si>
  <si>
    <t>NIMI</t>
  </si>
  <si>
    <t>ALO</t>
  </si>
  <si>
    <t>SEX</t>
  </si>
  <si>
    <t>FEMALE</t>
  </si>
  <si>
    <t>MALE</t>
  </si>
  <si>
    <t>TOMINWA</t>
  </si>
  <si>
    <t>AGE</t>
  </si>
  <si>
    <t>MARITAL STATUS</t>
  </si>
  <si>
    <t>ADDRESS</t>
  </si>
  <si>
    <t>DEPARTMENT</t>
  </si>
  <si>
    <t>YRS IN OPERATION</t>
  </si>
  <si>
    <t>QUALIFICATION</t>
  </si>
  <si>
    <t>NO OF DAYS PRESENT</t>
  </si>
  <si>
    <t>LEVEL</t>
  </si>
  <si>
    <t>BASIC PAY PER DAY</t>
  </si>
  <si>
    <t>BASIC SALARY</t>
  </si>
  <si>
    <t>TRANSPORTATION ALLOWANCE</t>
  </si>
  <si>
    <t>HOUSING ALLOWANCE</t>
  </si>
  <si>
    <t>MEDICAL ALLOWANCE</t>
  </si>
  <si>
    <t>GROSS SALARY</t>
  </si>
  <si>
    <t>ALLOWANCES</t>
  </si>
  <si>
    <t>TAX</t>
  </si>
  <si>
    <t>M.CONTRIBUTION</t>
  </si>
  <si>
    <t>PENSION</t>
  </si>
  <si>
    <t>T.DEDUCTION</t>
  </si>
  <si>
    <t>NET SALARY</t>
  </si>
  <si>
    <t>YR IN OPERATION</t>
  </si>
  <si>
    <t>T.DEDUCTIONS</t>
  </si>
  <si>
    <t>M.COMTRIBUTION</t>
  </si>
  <si>
    <t>TOTAL</t>
  </si>
  <si>
    <t>EXECUTIVE SUMMARY</t>
  </si>
  <si>
    <t>TOTAL SALARY</t>
  </si>
  <si>
    <t>TOTAL TAX</t>
  </si>
  <si>
    <t>EMPLOYER PENSION</t>
  </si>
  <si>
    <t>M CONTRIBUTION</t>
  </si>
  <si>
    <t>T OF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</si>
</sst>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565D9-4FDD-499D-B218-E6E54CFE8951}">
  <dimension ref="A1:Q90"/>
  <sheetViews>
    <sheetView topLeftCell="A8" workbookViewId="0">
      <selection activeCell="M23" sqref="M23"/>
    </sheetView>
  </sheetViews>
  <sheetFormatPr defaultRowHeight="15" x14ac:dyDescent="0.25"/>
  <cols>
    <col min="2" max="2" width="11.140625" bestFit="1" customWidth="1"/>
    <col min="5" max="5" width="16.28515625" bestFit="1" customWidth="1"/>
    <col min="6" max="6" width="14.28515625" bestFit="1" customWidth="1"/>
    <col min="7" max="7" width="13.28515625" bestFit="1" customWidth="1"/>
    <col min="8" max="8" width="17.85546875" bestFit="1" customWidth="1"/>
    <col min="9" max="9" width="15.140625" bestFit="1" customWidth="1"/>
    <col min="10" max="10" width="20.28515625" bestFit="1" customWidth="1"/>
    <col min="11" max="11" width="18.28515625" bestFit="1" customWidth="1"/>
  </cols>
  <sheetData>
    <row r="1" spans="1:17" x14ac:dyDescent="0.25">
      <c r="E1" s="1"/>
      <c r="F1" s="4" t="s">
        <v>0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x14ac:dyDescent="0.25">
      <c r="E2" s="1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x14ac:dyDescent="0.25">
      <c r="E3" s="1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x14ac:dyDescent="0.25">
      <c r="E4" s="1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x14ac:dyDescent="0.25">
      <c r="E5" s="1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</row>
    <row r="10" spans="1:17" s="2" customFormat="1" x14ac:dyDescent="0.25">
      <c r="A10" s="2" t="s">
        <v>1</v>
      </c>
      <c r="B10" s="2" t="s">
        <v>2</v>
      </c>
      <c r="C10" s="2" t="s">
        <v>81</v>
      </c>
      <c r="D10" s="2" t="s">
        <v>85</v>
      </c>
      <c r="E10" s="2" t="s">
        <v>86</v>
      </c>
      <c r="F10" s="2" t="s">
        <v>87</v>
      </c>
      <c r="G10" s="2" t="s">
        <v>88</v>
      </c>
      <c r="H10" s="2" t="s">
        <v>89</v>
      </c>
      <c r="I10" s="2" t="s">
        <v>90</v>
      </c>
      <c r="J10" s="2" t="s">
        <v>91</v>
      </c>
      <c r="K10" s="2" t="s">
        <v>93</v>
      </c>
    </row>
    <row r="11" spans="1:17" x14ac:dyDescent="0.25">
      <c r="A11">
        <v>1</v>
      </c>
      <c r="B11" t="s">
        <v>3</v>
      </c>
      <c r="C11" t="s">
        <v>82</v>
      </c>
      <c r="D11">
        <v>23</v>
      </c>
      <c r="E11" t="str">
        <f>IF(AND(D11&lt;=30),"SINGLE","MARRIED")</f>
        <v>SINGLE</v>
      </c>
      <c r="F11" t="str">
        <f>IF(AND(D11&gt;=30),"QUARTERS","OFF QUARTERS")</f>
        <v>OFF QUARTERS</v>
      </c>
      <c r="G11" t="str">
        <f>IF(AND(C11="FEMALE",D11&lt;=40),"FINANCE","IT")</f>
        <v>FINANCE</v>
      </c>
      <c r="H11">
        <f>IF(AND(D11&lt;=22),2,IF(AND(D11&lt;=26),7,IF(AND(D11&lt;=35),12,25)))</f>
        <v>7</v>
      </c>
      <c r="I11" t="str">
        <f>IF(AND(D11&lt;=20),"SSCE",IF(AND(D11&lt;=23),"NCE",IF(AND(D11&lt;=25),"ND",IF(AND(D11=30),"HND","BSC"))))</f>
        <v>NCE</v>
      </c>
      <c r="J11">
        <f>IF(AND(I11="SSCE"),24,IF(AND(I11="NCE"),23,IF(AND(I11="ND"),22,IF(AND(I11="HND"),20,IF(AND(I11="BSC"),15)))))</f>
        <v>23</v>
      </c>
      <c r="K11">
        <f>IF(AND(I11="SSCE"),1100,IF(AND(I11="NCE"),1150,IF(AND(I11="ND"),1400,IF(AND(I11="HND"),2250,3200))))</f>
        <v>1150</v>
      </c>
    </row>
    <row r="12" spans="1:17" x14ac:dyDescent="0.25">
      <c r="A12">
        <v>2</v>
      </c>
      <c r="B12" t="s">
        <v>4</v>
      </c>
      <c r="C12" t="s">
        <v>82</v>
      </c>
      <c r="D12">
        <v>22</v>
      </c>
      <c r="E12" t="str">
        <f t="shared" ref="E12:E75" si="0">IF(AND(D12&lt;=30),"SINGLE","MARRIED")</f>
        <v>SINGLE</v>
      </c>
      <c r="F12" t="str">
        <f t="shared" ref="F12:F75" si="1">IF(AND(D12&gt;=30),"QUARTERS","OFF QUARTERS")</f>
        <v>OFF QUARTERS</v>
      </c>
      <c r="G12" t="str">
        <f t="shared" ref="G12:G75" si="2">IF(AND(C12="FEMALE",D12&lt;=30),"FINANCE","IT")</f>
        <v>FINANCE</v>
      </c>
      <c r="H12">
        <f t="shared" ref="H12:H75" si="3">IF(AND(D12&lt;=22),2,IF(AND(D12&lt;=26),7,IF(AND(D12&lt;=35),12,25)))</f>
        <v>2</v>
      </c>
      <c r="I12" t="str">
        <f t="shared" ref="I12:I75" si="4">IF(AND(D12&lt;=20),"SSCE",IF(AND(D12&lt;=23),"NCE",IF(AND(D12&lt;=25),"ND",IF(AND(D12=30),"HND","BSC"))))</f>
        <v>NCE</v>
      </c>
      <c r="J12">
        <f t="shared" ref="J12:J75" si="5">IF(AND(I12="SSCE"),24,IF(AND(I12="NCE"),23,IF(AND(I12="ND"),22,IF(AND(I12="HND"),20,IF(AND(I12="BSC"),15)))))</f>
        <v>23</v>
      </c>
      <c r="K12">
        <f t="shared" ref="K12:K75" si="6">IF(AND(I12="SSCE"),1100,IF(AND(I12="NCE"),1150,IF(AND(I12="ND"),1400,IF(AND(I12="HND"),2250,3200))))</f>
        <v>1150</v>
      </c>
    </row>
    <row r="13" spans="1:17" x14ac:dyDescent="0.25">
      <c r="A13">
        <v>3</v>
      </c>
      <c r="B13" t="s">
        <v>5</v>
      </c>
      <c r="C13" t="s">
        <v>82</v>
      </c>
      <c r="D13">
        <v>20</v>
      </c>
      <c r="E13" t="str">
        <f t="shared" si="0"/>
        <v>SINGLE</v>
      </c>
      <c r="F13" t="str">
        <f t="shared" si="1"/>
        <v>OFF QUARTERS</v>
      </c>
      <c r="G13" t="str">
        <f t="shared" si="2"/>
        <v>FINANCE</v>
      </c>
      <c r="H13">
        <f t="shared" si="3"/>
        <v>2</v>
      </c>
      <c r="I13" t="str">
        <f t="shared" si="4"/>
        <v>SSCE</v>
      </c>
      <c r="J13">
        <f t="shared" si="5"/>
        <v>24</v>
      </c>
      <c r="K13">
        <f t="shared" si="6"/>
        <v>1100</v>
      </c>
    </row>
    <row r="14" spans="1:17" x14ac:dyDescent="0.25">
      <c r="A14">
        <v>4</v>
      </c>
      <c r="B14" t="s">
        <v>6</v>
      </c>
      <c r="C14" t="s">
        <v>82</v>
      </c>
      <c r="D14">
        <v>25</v>
      </c>
      <c r="E14" t="str">
        <f t="shared" si="0"/>
        <v>SINGLE</v>
      </c>
      <c r="F14" t="str">
        <f t="shared" si="1"/>
        <v>OFF QUARTERS</v>
      </c>
      <c r="G14" t="str">
        <f t="shared" si="2"/>
        <v>FINANCE</v>
      </c>
      <c r="H14">
        <f t="shared" si="3"/>
        <v>7</v>
      </c>
      <c r="I14" t="str">
        <f t="shared" si="4"/>
        <v>ND</v>
      </c>
      <c r="J14">
        <f t="shared" si="5"/>
        <v>22</v>
      </c>
      <c r="K14">
        <f t="shared" si="6"/>
        <v>1400</v>
      </c>
    </row>
    <row r="15" spans="1:17" x14ac:dyDescent="0.25">
      <c r="A15">
        <v>5</v>
      </c>
      <c r="B15" t="s">
        <v>7</v>
      </c>
      <c r="C15" t="s">
        <v>83</v>
      </c>
      <c r="D15">
        <v>35</v>
      </c>
      <c r="E15" t="str">
        <f t="shared" si="0"/>
        <v>MARRIED</v>
      </c>
      <c r="F15" t="str">
        <f t="shared" si="1"/>
        <v>QUARTERS</v>
      </c>
      <c r="G15" t="str">
        <f t="shared" si="2"/>
        <v>IT</v>
      </c>
      <c r="H15">
        <f t="shared" si="3"/>
        <v>12</v>
      </c>
      <c r="I15" t="str">
        <f t="shared" si="4"/>
        <v>BSC</v>
      </c>
      <c r="J15">
        <f t="shared" si="5"/>
        <v>15</v>
      </c>
      <c r="K15">
        <f t="shared" si="6"/>
        <v>3200</v>
      </c>
    </row>
    <row r="16" spans="1:17" x14ac:dyDescent="0.25">
      <c r="A16">
        <v>6</v>
      </c>
      <c r="B16" t="s">
        <v>8</v>
      </c>
      <c r="C16" t="s">
        <v>83</v>
      </c>
      <c r="D16">
        <v>37</v>
      </c>
      <c r="E16" t="str">
        <f t="shared" si="0"/>
        <v>MARRIED</v>
      </c>
      <c r="F16" t="str">
        <f t="shared" si="1"/>
        <v>QUARTERS</v>
      </c>
      <c r="G16" t="str">
        <f t="shared" si="2"/>
        <v>IT</v>
      </c>
      <c r="H16">
        <f t="shared" si="3"/>
        <v>25</v>
      </c>
      <c r="I16" t="str">
        <f t="shared" si="4"/>
        <v>BSC</v>
      </c>
      <c r="J16">
        <f t="shared" si="5"/>
        <v>15</v>
      </c>
      <c r="K16">
        <f t="shared" si="6"/>
        <v>3200</v>
      </c>
    </row>
    <row r="17" spans="1:11" x14ac:dyDescent="0.25">
      <c r="A17">
        <v>7</v>
      </c>
      <c r="B17" t="s">
        <v>9</v>
      </c>
      <c r="C17" t="s">
        <v>82</v>
      </c>
      <c r="D17">
        <v>36</v>
      </c>
      <c r="E17" t="str">
        <f t="shared" si="0"/>
        <v>MARRIED</v>
      </c>
      <c r="F17" t="str">
        <f t="shared" si="1"/>
        <v>QUARTERS</v>
      </c>
      <c r="G17" t="str">
        <f t="shared" si="2"/>
        <v>IT</v>
      </c>
      <c r="H17">
        <f t="shared" si="3"/>
        <v>25</v>
      </c>
      <c r="I17" t="str">
        <f t="shared" si="4"/>
        <v>BSC</v>
      </c>
      <c r="J17">
        <f t="shared" si="5"/>
        <v>15</v>
      </c>
      <c r="K17">
        <f t="shared" si="6"/>
        <v>3200</v>
      </c>
    </row>
    <row r="18" spans="1:11" x14ac:dyDescent="0.25">
      <c r="A18">
        <v>8</v>
      </c>
      <c r="B18" t="s">
        <v>10</v>
      </c>
      <c r="C18" t="s">
        <v>82</v>
      </c>
      <c r="D18">
        <v>30</v>
      </c>
      <c r="E18" t="str">
        <f t="shared" si="0"/>
        <v>SINGLE</v>
      </c>
      <c r="F18" t="str">
        <f t="shared" si="1"/>
        <v>QUARTERS</v>
      </c>
      <c r="G18" t="str">
        <f t="shared" si="2"/>
        <v>FINANCE</v>
      </c>
      <c r="H18">
        <f t="shared" si="3"/>
        <v>12</v>
      </c>
      <c r="I18" t="str">
        <f t="shared" si="4"/>
        <v>HND</v>
      </c>
      <c r="J18">
        <f t="shared" si="5"/>
        <v>20</v>
      </c>
      <c r="K18">
        <f t="shared" si="6"/>
        <v>2250</v>
      </c>
    </row>
    <row r="19" spans="1:11" x14ac:dyDescent="0.25">
      <c r="A19">
        <v>9</v>
      </c>
      <c r="B19" t="s">
        <v>11</v>
      </c>
      <c r="C19" t="s">
        <v>83</v>
      </c>
      <c r="D19">
        <v>21</v>
      </c>
      <c r="E19" t="str">
        <f t="shared" si="0"/>
        <v>SINGLE</v>
      </c>
      <c r="F19" t="str">
        <f t="shared" si="1"/>
        <v>OFF QUARTERS</v>
      </c>
      <c r="G19" t="str">
        <f t="shared" si="2"/>
        <v>IT</v>
      </c>
      <c r="H19">
        <f t="shared" si="3"/>
        <v>2</v>
      </c>
      <c r="I19" t="str">
        <f t="shared" si="4"/>
        <v>NCE</v>
      </c>
      <c r="J19">
        <f t="shared" si="5"/>
        <v>23</v>
      </c>
      <c r="K19">
        <f t="shared" si="6"/>
        <v>1150</v>
      </c>
    </row>
    <row r="20" spans="1:11" x14ac:dyDescent="0.25">
      <c r="A20">
        <v>10</v>
      </c>
      <c r="B20" t="s">
        <v>12</v>
      </c>
      <c r="C20" t="s">
        <v>83</v>
      </c>
      <c r="D20">
        <v>20</v>
      </c>
      <c r="E20" t="str">
        <f t="shared" si="0"/>
        <v>SINGLE</v>
      </c>
      <c r="F20" t="str">
        <f t="shared" si="1"/>
        <v>OFF QUARTERS</v>
      </c>
      <c r="G20" t="str">
        <f t="shared" si="2"/>
        <v>IT</v>
      </c>
      <c r="H20">
        <f t="shared" si="3"/>
        <v>2</v>
      </c>
      <c r="I20" t="str">
        <f t="shared" si="4"/>
        <v>SSCE</v>
      </c>
      <c r="J20">
        <f t="shared" si="5"/>
        <v>24</v>
      </c>
      <c r="K20">
        <f t="shared" si="6"/>
        <v>1100</v>
      </c>
    </row>
    <row r="21" spans="1:11" x14ac:dyDescent="0.25">
      <c r="A21">
        <v>11</v>
      </c>
      <c r="B21" t="s">
        <v>13</v>
      </c>
      <c r="C21" t="s">
        <v>82</v>
      </c>
      <c r="D21">
        <v>32</v>
      </c>
      <c r="E21" t="str">
        <f t="shared" si="0"/>
        <v>MARRIED</v>
      </c>
      <c r="F21" t="str">
        <f t="shared" si="1"/>
        <v>QUARTERS</v>
      </c>
      <c r="G21" t="str">
        <f t="shared" si="2"/>
        <v>IT</v>
      </c>
      <c r="H21">
        <f t="shared" si="3"/>
        <v>12</v>
      </c>
      <c r="I21" t="str">
        <f t="shared" si="4"/>
        <v>BSC</v>
      </c>
      <c r="J21">
        <f t="shared" si="5"/>
        <v>15</v>
      </c>
      <c r="K21">
        <f t="shared" si="6"/>
        <v>3200</v>
      </c>
    </row>
    <row r="22" spans="1:11" x14ac:dyDescent="0.25">
      <c r="A22">
        <v>12</v>
      </c>
      <c r="B22" t="s">
        <v>14</v>
      </c>
      <c r="C22" t="s">
        <v>83</v>
      </c>
      <c r="D22">
        <v>25</v>
      </c>
      <c r="E22" t="str">
        <f t="shared" si="0"/>
        <v>SINGLE</v>
      </c>
      <c r="F22" t="str">
        <f t="shared" si="1"/>
        <v>OFF QUARTERS</v>
      </c>
      <c r="G22" t="str">
        <f t="shared" si="2"/>
        <v>IT</v>
      </c>
      <c r="H22">
        <f t="shared" si="3"/>
        <v>7</v>
      </c>
      <c r="I22" t="str">
        <f t="shared" si="4"/>
        <v>ND</v>
      </c>
      <c r="J22">
        <f t="shared" si="5"/>
        <v>22</v>
      </c>
      <c r="K22">
        <f t="shared" si="6"/>
        <v>1400</v>
      </c>
    </row>
    <row r="23" spans="1:11" x14ac:dyDescent="0.25">
      <c r="A23">
        <v>13</v>
      </c>
      <c r="B23" t="s">
        <v>15</v>
      </c>
      <c r="C23" t="s">
        <v>83</v>
      </c>
      <c r="D23">
        <v>26</v>
      </c>
      <c r="E23" t="str">
        <f t="shared" si="0"/>
        <v>SINGLE</v>
      </c>
      <c r="F23" t="str">
        <f t="shared" si="1"/>
        <v>OFF QUARTERS</v>
      </c>
      <c r="G23" t="str">
        <f t="shared" si="2"/>
        <v>IT</v>
      </c>
      <c r="H23">
        <f t="shared" si="3"/>
        <v>7</v>
      </c>
      <c r="I23" t="str">
        <f t="shared" si="4"/>
        <v>BSC</v>
      </c>
      <c r="J23">
        <f t="shared" si="5"/>
        <v>15</v>
      </c>
      <c r="K23">
        <f t="shared" si="6"/>
        <v>3200</v>
      </c>
    </row>
    <row r="24" spans="1:11" x14ac:dyDescent="0.25">
      <c r="A24">
        <v>14</v>
      </c>
      <c r="B24" t="s">
        <v>16</v>
      </c>
      <c r="C24" t="s">
        <v>82</v>
      </c>
      <c r="D24">
        <v>19</v>
      </c>
      <c r="E24" t="str">
        <f t="shared" si="0"/>
        <v>SINGLE</v>
      </c>
      <c r="F24" t="str">
        <f t="shared" si="1"/>
        <v>OFF QUARTERS</v>
      </c>
      <c r="G24" t="str">
        <f t="shared" si="2"/>
        <v>FINANCE</v>
      </c>
      <c r="H24">
        <f t="shared" si="3"/>
        <v>2</v>
      </c>
      <c r="I24" t="str">
        <f t="shared" si="4"/>
        <v>SSCE</v>
      </c>
      <c r="J24">
        <f t="shared" si="5"/>
        <v>24</v>
      </c>
      <c r="K24">
        <f t="shared" si="6"/>
        <v>1100</v>
      </c>
    </row>
    <row r="25" spans="1:11" x14ac:dyDescent="0.25">
      <c r="A25">
        <v>15</v>
      </c>
      <c r="B25" t="s">
        <v>17</v>
      </c>
      <c r="C25" t="s">
        <v>83</v>
      </c>
      <c r="D25">
        <v>28</v>
      </c>
      <c r="E25" t="str">
        <f t="shared" si="0"/>
        <v>SINGLE</v>
      </c>
      <c r="F25" t="str">
        <f t="shared" si="1"/>
        <v>OFF QUARTERS</v>
      </c>
      <c r="G25" t="str">
        <f t="shared" si="2"/>
        <v>IT</v>
      </c>
      <c r="H25">
        <f t="shared" si="3"/>
        <v>12</v>
      </c>
      <c r="I25" t="str">
        <f t="shared" si="4"/>
        <v>BSC</v>
      </c>
      <c r="J25">
        <f t="shared" si="5"/>
        <v>15</v>
      </c>
      <c r="K25">
        <f t="shared" si="6"/>
        <v>3200</v>
      </c>
    </row>
    <row r="26" spans="1:11" x14ac:dyDescent="0.25">
      <c r="A26">
        <v>16</v>
      </c>
      <c r="B26" t="s">
        <v>18</v>
      </c>
      <c r="C26" t="s">
        <v>83</v>
      </c>
      <c r="D26">
        <v>29</v>
      </c>
      <c r="E26" t="str">
        <f t="shared" si="0"/>
        <v>SINGLE</v>
      </c>
      <c r="F26" t="str">
        <f t="shared" si="1"/>
        <v>OFF QUARTERS</v>
      </c>
      <c r="G26" t="str">
        <f t="shared" si="2"/>
        <v>IT</v>
      </c>
      <c r="H26">
        <f t="shared" si="3"/>
        <v>12</v>
      </c>
      <c r="I26" t="str">
        <f t="shared" si="4"/>
        <v>BSC</v>
      </c>
      <c r="J26">
        <f t="shared" si="5"/>
        <v>15</v>
      </c>
      <c r="K26">
        <f t="shared" si="6"/>
        <v>3200</v>
      </c>
    </row>
    <row r="27" spans="1:11" x14ac:dyDescent="0.25">
      <c r="A27">
        <v>17</v>
      </c>
      <c r="B27" t="s">
        <v>19</v>
      </c>
      <c r="C27" t="s">
        <v>82</v>
      </c>
      <c r="D27">
        <v>30</v>
      </c>
      <c r="E27" t="str">
        <f t="shared" si="0"/>
        <v>SINGLE</v>
      </c>
      <c r="F27" t="str">
        <f t="shared" si="1"/>
        <v>QUARTERS</v>
      </c>
      <c r="G27" t="str">
        <f t="shared" si="2"/>
        <v>FINANCE</v>
      </c>
      <c r="H27">
        <f t="shared" si="3"/>
        <v>12</v>
      </c>
      <c r="I27" t="str">
        <f t="shared" si="4"/>
        <v>HND</v>
      </c>
      <c r="J27">
        <f t="shared" si="5"/>
        <v>20</v>
      </c>
      <c r="K27">
        <f t="shared" si="6"/>
        <v>2250</v>
      </c>
    </row>
    <row r="28" spans="1:11" x14ac:dyDescent="0.25">
      <c r="A28">
        <v>18</v>
      </c>
      <c r="B28" t="s">
        <v>20</v>
      </c>
      <c r="C28" t="s">
        <v>82</v>
      </c>
      <c r="D28">
        <v>20</v>
      </c>
      <c r="E28" t="str">
        <f t="shared" si="0"/>
        <v>SINGLE</v>
      </c>
      <c r="F28" t="str">
        <f t="shared" si="1"/>
        <v>OFF QUARTERS</v>
      </c>
      <c r="G28" t="str">
        <f t="shared" si="2"/>
        <v>FINANCE</v>
      </c>
      <c r="H28">
        <f t="shared" si="3"/>
        <v>2</v>
      </c>
      <c r="I28" t="str">
        <f t="shared" si="4"/>
        <v>SSCE</v>
      </c>
      <c r="J28">
        <f t="shared" si="5"/>
        <v>24</v>
      </c>
      <c r="K28">
        <f t="shared" si="6"/>
        <v>1100</v>
      </c>
    </row>
    <row r="29" spans="1:11" x14ac:dyDescent="0.25">
      <c r="A29">
        <v>19</v>
      </c>
      <c r="B29" t="s">
        <v>21</v>
      </c>
      <c r="C29" t="s">
        <v>82</v>
      </c>
      <c r="D29">
        <v>43</v>
      </c>
      <c r="E29" t="str">
        <f t="shared" si="0"/>
        <v>MARRIED</v>
      </c>
      <c r="F29" t="str">
        <f t="shared" si="1"/>
        <v>QUARTERS</v>
      </c>
      <c r="G29" t="str">
        <f t="shared" si="2"/>
        <v>IT</v>
      </c>
      <c r="H29">
        <f t="shared" si="3"/>
        <v>25</v>
      </c>
      <c r="I29" t="str">
        <f t="shared" si="4"/>
        <v>BSC</v>
      </c>
      <c r="J29">
        <f t="shared" si="5"/>
        <v>15</v>
      </c>
      <c r="K29">
        <f t="shared" si="6"/>
        <v>3200</v>
      </c>
    </row>
    <row r="30" spans="1:11" x14ac:dyDescent="0.25">
      <c r="A30">
        <v>20</v>
      </c>
      <c r="B30" t="s">
        <v>22</v>
      </c>
      <c r="C30" t="s">
        <v>83</v>
      </c>
      <c r="D30">
        <v>44</v>
      </c>
      <c r="E30" t="str">
        <f t="shared" si="0"/>
        <v>MARRIED</v>
      </c>
      <c r="F30" t="str">
        <f t="shared" si="1"/>
        <v>QUARTERS</v>
      </c>
      <c r="G30" t="str">
        <f t="shared" si="2"/>
        <v>IT</v>
      </c>
      <c r="H30">
        <f t="shared" si="3"/>
        <v>25</v>
      </c>
      <c r="I30" t="str">
        <f t="shared" si="4"/>
        <v>BSC</v>
      </c>
      <c r="J30">
        <f t="shared" si="5"/>
        <v>15</v>
      </c>
      <c r="K30">
        <f t="shared" si="6"/>
        <v>3200</v>
      </c>
    </row>
    <row r="31" spans="1:11" x14ac:dyDescent="0.25">
      <c r="A31">
        <v>21</v>
      </c>
      <c r="B31" t="s">
        <v>23</v>
      </c>
      <c r="C31" t="s">
        <v>83</v>
      </c>
      <c r="D31">
        <v>45</v>
      </c>
      <c r="E31" t="str">
        <f t="shared" si="0"/>
        <v>MARRIED</v>
      </c>
      <c r="F31" t="str">
        <f t="shared" si="1"/>
        <v>QUARTERS</v>
      </c>
      <c r="G31" t="str">
        <f t="shared" si="2"/>
        <v>IT</v>
      </c>
      <c r="H31">
        <f t="shared" si="3"/>
        <v>25</v>
      </c>
      <c r="I31" t="str">
        <f t="shared" si="4"/>
        <v>BSC</v>
      </c>
      <c r="J31">
        <f t="shared" si="5"/>
        <v>15</v>
      </c>
      <c r="K31">
        <f t="shared" si="6"/>
        <v>3200</v>
      </c>
    </row>
    <row r="32" spans="1:11" x14ac:dyDescent="0.25">
      <c r="A32">
        <v>22</v>
      </c>
      <c r="B32" t="s">
        <v>24</v>
      </c>
      <c r="C32" t="s">
        <v>83</v>
      </c>
      <c r="D32">
        <v>46</v>
      </c>
      <c r="E32" t="str">
        <f t="shared" si="0"/>
        <v>MARRIED</v>
      </c>
      <c r="F32" t="str">
        <f t="shared" si="1"/>
        <v>QUARTERS</v>
      </c>
      <c r="G32" t="str">
        <f t="shared" si="2"/>
        <v>IT</v>
      </c>
      <c r="H32">
        <f t="shared" si="3"/>
        <v>25</v>
      </c>
      <c r="I32" t="str">
        <f t="shared" si="4"/>
        <v>BSC</v>
      </c>
      <c r="J32">
        <f t="shared" si="5"/>
        <v>15</v>
      </c>
      <c r="K32">
        <f t="shared" si="6"/>
        <v>3200</v>
      </c>
    </row>
    <row r="33" spans="1:11" x14ac:dyDescent="0.25">
      <c r="A33">
        <v>23</v>
      </c>
      <c r="B33" t="s">
        <v>25</v>
      </c>
      <c r="C33" t="s">
        <v>83</v>
      </c>
      <c r="D33">
        <v>47</v>
      </c>
      <c r="E33" t="str">
        <f t="shared" si="0"/>
        <v>MARRIED</v>
      </c>
      <c r="F33" t="str">
        <f t="shared" si="1"/>
        <v>QUARTERS</v>
      </c>
      <c r="G33" t="str">
        <f t="shared" si="2"/>
        <v>IT</v>
      </c>
      <c r="H33">
        <f t="shared" si="3"/>
        <v>25</v>
      </c>
      <c r="I33" t="str">
        <f t="shared" si="4"/>
        <v>BSC</v>
      </c>
      <c r="J33">
        <f t="shared" si="5"/>
        <v>15</v>
      </c>
      <c r="K33">
        <f t="shared" si="6"/>
        <v>3200</v>
      </c>
    </row>
    <row r="34" spans="1:11" x14ac:dyDescent="0.25">
      <c r="A34">
        <v>24</v>
      </c>
      <c r="B34" t="s">
        <v>84</v>
      </c>
      <c r="C34" t="s">
        <v>83</v>
      </c>
      <c r="D34">
        <v>50</v>
      </c>
      <c r="E34" t="str">
        <f t="shared" si="0"/>
        <v>MARRIED</v>
      </c>
      <c r="F34" t="str">
        <f t="shared" si="1"/>
        <v>QUARTERS</v>
      </c>
      <c r="G34" t="str">
        <f t="shared" si="2"/>
        <v>IT</v>
      </c>
      <c r="H34">
        <f t="shared" si="3"/>
        <v>25</v>
      </c>
      <c r="I34" t="str">
        <f t="shared" si="4"/>
        <v>BSC</v>
      </c>
      <c r="J34">
        <f t="shared" si="5"/>
        <v>15</v>
      </c>
      <c r="K34">
        <f t="shared" si="6"/>
        <v>3200</v>
      </c>
    </row>
    <row r="35" spans="1:11" x14ac:dyDescent="0.25">
      <c r="A35">
        <v>25</v>
      </c>
      <c r="B35" t="s">
        <v>26</v>
      </c>
      <c r="C35" t="s">
        <v>82</v>
      </c>
      <c r="D35">
        <v>51</v>
      </c>
      <c r="E35" t="str">
        <f t="shared" si="0"/>
        <v>MARRIED</v>
      </c>
      <c r="F35" t="str">
        <f t="shared" si="1"/>
        <v>QUARTERS</v>
      </c>
      <c r="G35" t="str">
        <f t="shared" si="2"/>
        <v>IT</v>
      </c>
      <c r="H35">
        <f t="shared" si="3"/>
        <v>25</v>
      </c>
      <c r="I35" t="str">
        <f t="shared" si="4"/>
        <v>BSC</v>
      </c>
      <c r="J35">
        <f t="shared" si="5"/>
        <v>15</v>
      </c>
      <c r="K35">
        <f t="shared" si="6"/>
        <v>3200</v>
      </c>
    </row>
    <row r="36" spans="1:11" x14ac:dyDescent="0.25">
      <c r="A36">
        <v>26</v>
      </c>
      <c r="B36" t="s">
        <v>27</v>
      </c>
      <c r="C36" t="s">
        <v>82</v>
      </c>
      <c r="D36">
        <v>52</v>
      </c>
      <c r="E36" t="str">
        <f t="shared" si="0"/>
        <v>MARRIED</v>
      </c>
      <c r="F36" t="str">
        <f t="shared" si="1"/>
        <v>QUARTERS</v>
      </c>
      <c r="G36" t="str">
        <f t="shared" si="2"/>
        <v>IT</v>
      </c>
      <c r="H36">
        <f t="shared" si="3"/>
        <v>25</v>
      </c>
      <c r="I36" t="str">
        <f t="shared" si="4"/>
        <v>BSC</v>
      </c>
      <c r="J36">
        <f t="shared" si="5"/>
        <v>15</v>
      </c>
      <c r="K36">
        <f t="shared" si="6"/>
        <v>3200</v>
      </c>
    </row>
    <row r="37" spans="1:11" x14ac:dyDescent="0.25">
      <c r="A37">
        <v>27</v>
      </c>
      <c r="B37" t="s">
        <v>28</v>
      </c>
      <c r="C37" t="s">
        <v>82</v>
      </c>
      <c r="D37">
        <v>34</v>
      </c>
      <c r="E37" t="str">
        <f t="shared" si="0"/>
        <v>MARRIED</v>
      </c>
      <c r="F37" t="str">
        <f t="shared" si="1"/>
        <v>QUARTERS</v>
      </c>
      <c r="G37" t="str">
        <f t="shared" si="2"/>
        <v>IT</v>
      </c>
      <c r="H37">
        <f t="shared" si="3"/>
        <v>12</v>
      </c>
      <c r="I37" t="str">
        <f t="shared" si="4"/>
        <v>BSC</v>
      </c>
      <c r="J37">
        <f t="shared" si="5"/>
        <v>15</v>
      </c>
      <c r="K37">
        <f t="shared" si="6"/>
        <v>3200</v>
      </c>
    </row>
    <row r="38" spans="1:11" x14ac:dyDescent="0.25">
      <c r="A38">
        <v>28</v>
      </c>
      <c r="B38" t="s">
        <v>29</v>
      </c>
      <c r="C38" t="s">
        <v>82</v>
      </c>
      <c r="D38">
        <v>38</v>
      </c>
      <c r="E38" t="str">
        <f t="shared" si="0"/>
        <v>MARRIED</v>
      </c>
      <c r="F38" t="str">
        <f t="shared" si="1"/>
        <v>QUARTERS</v>
      </c>
      <c r="G38" t="str">
        <f t="shared" si="2"/>
        <v>IT</v>
      </c>
      <c r="H38">
        <f t="shared" si="3"/>
        <v>25</v>
      </c>
      <c r="I38" t="str">
        <f t="shared" si="4"/>
        <v>BSC</v>
      </c>
      <c r="J38">
        <f t="shared" si="5"/>
        <v>15</v>
      </c>
      <c r="K38">
        <f t="shared" si="6"/>
        <v>3200</v>
      </c>
    </row>
    <row r="39" spans="1:11" x14ac:dyDescent="0.25">
      <c r="A39">
        <v>29</v>
      </c>
      <c r="B39" t="s">
        <v>30</v>
      </c>
      <c r="C39" t="s">
        <v>83</v>
      </c>
      <c r="D39">
        <v>39</v>
      </c>
      <c r="E39" t="str">
        <f t="shared" si="0"/>
        <v>MARRIED</v>
      </c>
      <c r="F39" t="str">
        <f t="shared" si="1"/>
        <v>QUARTERS</v>
      </c>
      <c r="G39" t="str">
        <f t="shared" si="2"/>
        <v>IT</v>
      </c>
      <c r="H39">
        <f t="shared" si="3"/>
        <v>25</v>
      </c>
      <c r="I39" t="str">
        <f t="shared" si="4"/>
        <v>BSC</v>
      </c>
      <c r="J39">
        <f t="shared" si="5"/>
        <v>15</v>
      </c>
      <c r="K39">
        <f t="shared" si="6"/>
        <v>3200</v>
      </c>
    </row>
    <row r="40" spans="1:11" x14ac:dyDescent="0.25">
      <c r="A40">
        <v>30</v>
      </c>
      <c r="B40" t="s">
        <v>31</v>
      </c>
      <c r="C40" t="s">
        <v>83</v>
      </c>
      <c r="D40">
        <v>30</v>
      </c>
      <c r="E40" t="str">
        <f t="shared" si="0"/>
        <v>SINGLE</v>
      </c>
      <c r="F40" t="str">
        <f t="shared" si="1"/>
        <v>QUARTERS</v>
      </c>
      <c r="G40" t="str">
        <f t="shared" si="2"/>
        <v>IT</v>
      </c>
      <c r="H40">
        <f t="shared" si="3"/>
        <v>12</v>
      </c>
      <c r="I40" t="str">
        <f t="shared" si="4"/>
        <v>HND</v>
      </c>
      <c r="J40">
        <f t="shared" si="5"/>
        <v>20</v>
      </c>
      <c r="K40">
        <f t="shared" si="6"/>
        <v>2250</v>
      </c>
    </row>
    <row r="41" spans="1:11" x14ac:dyDescent="0.25">
      <c r="A41">
        <v>31</v>
      </c>
      <c r="B41" t="s">
        <v>32</v>
      </c>
      <c r="C41" t="s">
        <v>82</v>
      </c>
      <c r="D41">
        <v>20</v>
      </c>
      <c r="E41" t="str">
        <f t="shared" si="0"/>
        <v>SINGLE</v>
      </c>
      <c r="F41" t="str">
        <f t="shared" si="1"/>
        <v>OFF QUARTERS</v>
      </c>
      <c r="G41" t="str">
        <f t="shared" si="2"/>
        <v>FINANCE</v>
      </c>
      <c r="H41">
        <f t="shared" si="3"/>
        <v>2</v>
      </c>
      <c r="I41" t="str">
        <f t="shared" si="4"/>
        <v>SSCE</v>
      </c>
      <c r="J41">
        <f t="shared" si="5"/>
        <v>24</v>
      </c>
      <c r="K41">
        <f t="shared" si="6"/>
        <v>1100</v>
      </c>
    </row>
    <row r="42" spans="1:11" x14ac:dyDescent="0.25">
      <c r="A42">
        <v>32</v>
      </c>
      <c r="B42" t="s">
        <v>33</v>
      </c>
      <c r="C42" t="s">
        <v>82</v>
      </c>
      <c r="D42">
        <v>36</v>
      </c>
      <c r="E42" t="str">
        <f t="shared" si="0"/>
        <v>MARRIED</v>
      </c>
      <c r="F42" t="str">
        <f t="shared" si="1"/>
        <v>QUARTERS</v>
      </c>
      <c r="G42" t="str">
        <f t="shared" si="2"/>
        <v>IT</v>
      </c>
      <c r="H42">
        <f t="shared" si="3"/>
        <v>25</v>
      </c>
      <c r="I42" t="str">
        <f t="shared" si="4"/>
        <v>BSC</v>
      </c>
      <c r="J42">
        <f t="shared" si="5"/>
        <v>15</v>
      </c>
      <c r="K42">
        <f t="shared" si="6"/>
        <v>3200</v>
      </c>
    </row>
    <row r="43" spans="1:11" x14ac:dyDescent="0.25">
      <c r="A43">
        <v>33</v>
      </c>
      <c r="B43" t="s">
        <v>34</v>
      </c>
      <c r="C43" t="s">
        <v>82</v>
      </c>
      <c r="D43">
        <v>34</v>
      </c>
      <c r="E43" t="str">
        <f t="shared" si="0"/>
        <v>MARRIED</v>
      </c>
      <c r="F43" t="str">
        <f t="shared" si="1"/>
        <v>QUARTERS</v>
      </c>
      <c r="G43" t="str">
        <f t="shared" si="2"/>
        <v>IT</v>
      </c>
      <c r="H43">
        <f t="shared" si="3"/>
        <v>12</v>
      </c>
      <c r="I43" t="str">
        <f t="shared" si="4"/>
        <v>BSC</v>
      </c>
      <c r="J43">
        <f t="shared" si="5"/>
        <v>15</v>
      </c>
      <c r="K43">
        <f t="shared" si="6"/>
        <v>3200</v>
      </c>
    </row>
    <row r="44" spans="1:11" x14ac:dyDescent="0.25">
      <c r="A44">
        <v>34</v>
      </c>
      <c r="B44" t="s">
        <v>35</v>
      </c>
      <c r="C44" t="s">
        <v>83</v>
      </c>
      <c r="D44">
        <v>24</v>
      </c>
      <c r="E44" t="str">
        <f t="shared" si="0"/>
        <v>SINGLE</v>
      </c>
      <c r="F44" t="str">
        <f t="shared" si="1"/>
        <v>OFF QUARTERS</v>
      </c>
      <c r="G44" t="str">
        <f t="shared" si="2"/>
        <v>IT</v>
      </c>
      <c r="H44">
        <f t="shared" si="3"/>
        <v>7</v>
      </c>
      <c r="I44" t="str">
        <f t="shared" si="4"/>
        <v>ND</v>
      </c>
      <c r="J44">
        <f t="shared" si="5"/>
        <v>22</v>
      </c>
      <c r="K44">
        <f t="shared" si="6"/>
        <v>1400</v>
      </c>
    </row>
    <row r="45" spans="1:11" x14ac:dyDescent="0.25">
      <c r="A45">
        <v>35</v>
      </c>
      <c r="B45" t="s">
        <v>36</v>
      </c>
      <c r="C45" t="s">
        <v>83</v>
      </c>
      <c r="D45">
        <v>21</v>
      </c>
      <c r="E45" t="str">
        <f t="shared" si="0"/>
        <v>SINGLE</v>
      </c>
      <c r="F45" t="str">
        <f t="shared" si="1"/>
        <v>OFF QUARTERS</v>
      </c>
      <c r="G45" t="str">
        <f t="shared" si="2"/>
        <v>IT</v>
      </c>
      <c r="H45">
        <f t="shared" si="3"/>
        <v>2</v>
      </c>
      <c r="I45" t="str">
        <f t="shared" si="4"/>
        <v>NCE</v>
      </c>
      <c r="J45">
        <f t="shared" si="5"/>
        <v>23</v>
      </c>
      <c r="K45">
        <f t="shared" si="6"/>
        <v>1150</v>
      </c>
    </row>
    <row r="46" spans="1:11" x14ac:dyDescent="0.25">
      <c r="A46">
        <v>36</v>
      </c>
      <c r="B46" t="s">
        <v>37</v>
      </c>
      <c r="C46" t="s">
        <v>83</v>
      </c>
      <c r="D46">
        <v>22</v>
      </c>
      <c r="E46" t="str">
        <f t="shared" si="0"/>
        <v>SINGLE</v>
      </c>
      <c r="F46" t="str">
        <f t="shared" si="1"/>
        <v>OFF QUARTERS</v>
      </c>
      <c r="G46" t="str">
        <f t="shared" si="2"/>
        <v>IT</v>
      </c>
      <c r="H46">
        <f t="shared" si="3"/>
        <v>2</v>
      </c>
      <c r="I46" t="str">
        <f t="shared" si="4"/>
        <v>NCE</v>
      </c>
      <c r="J46">
        <f t="shared" si="5"/>
        <v>23</v>
      </c>
      <c r="K46">
        <f t="shared" si="6"/>
        <v>1150</v>
      </c>
    </row>
    <row r="47" spans="1:11" x14ac:dyDescent="0.25">
      <c r="A47">
        <v>37</v>
      </c>
      <c r="B47" t="s">
        <v>38</v>
      </c>
      <c r="C47" t="s">
        <v>83</v>
      </c>
      <c r="D47">
        <v>26</v>
      </c>
      <c r="E47" t="str">
        <f t="shared" si="0"/>
        <v>SINGLE</v>
      </c>
      <c r="F47" t="str">
        <f t="shared" si="1"/>
        <v>OFF QUARTERS</v>
      </c>
      <c r="G47" t="str">
        <f t="shared" si="2"/>
        <v>IT</v>
      </c>
      <c r="H47">
        <f t="shared" si="3"/>
        <v>7</v>
      </c>
      <c r="I47" t="str">
        <f t="shared" si="4"/>
        <v>BSC</v>
      </c>
      <c r="J47">
        <f t="shared" si="5"/>
        <v>15</v>
      </c>
      <c r="K47">
        <f t="shared" si="6"/>
        <v>3200</v>
      </c>
    </row>
    <row r="48" spans="1:11" x14ac:dyDescent="0.25">
      <c r="A48">
        <v>38</v>
      </c>
      <c r="B48" t="s">
        <v>39</v>
      </c>
      <c r="C48" t="s">
        <v>83</v>
      </c>
      <c r="D48">
        <v>27</v>
      </c>
      <c r="E48" t="str">
        <f t="shared" si="0"/>
        <v>SINGLE</v>
      </c>
      <c r="F48" t="str">
        <f t="shared" si="1"/>
        <v>OFF QUARTERS</v>
      </c>
      <c r="G48" t="str">
        <f t="shared" si="2"/>
        <v>IT</v>
      </c>
      <c r="H48">
        <f t="shared" si="3"/>
        <v>12</v>
      </c>
      <c r="I48" t="str">
        <f t="shared" si="4"/>
        <v>BSC</v>
      </c>
      <c r="J48">
        <f t="shared" si="5"/>
        <v>15</v>
      </c>
      <c r="K48">
        <f t="shared" si="6"/>
        <v>3200</v>
      </c>
    </row>
    <row r="49" spans="1:11" x14ac:dyDescent="0.25">
      <c r="A49">
        <v>39</v>
      </c>
      <c r="B49" t="s">
        <v>40</v>
      </c>
      <c r="C49" t="s">
        <v>83</v>
      </c>
      <c r="D49">
        <v>40</v>
      </c>
      <c r="E49" t="str">
        <f t="shared" si="0"/>
        <v>MARRIED</v>
      </c>
      <c r="F49" t="str">
        <f t="shared" si="1"/>
        <v>QUARTERS</v>
      </c>
      <c r="G49" t="str">
        <f t="shared" si="2"/>
        <v>IT</v>
      </c>
      <c r="H49">
        <f t="shared" si="3"/>
        <v>25</v>
      </c>
      <c r="I49" t="str">
        <f t="shared" si="4"/>
        <v>BSC</v>
      </c>
      <c r="J49">
        <f t="shared" si="5"/>
        <v>15</v>
      </c>
      <c r="K49">
        <f t="shared" si="6"/>
        <v>3200</v>
      </c>
    </row>
    <row r="50" spans="1:11" x14ac:dyDescent="0.25">
      <c r="A50">
        <v>40</v>
      </c>
      <c r="B50" t="s">
        <v>41</v>
      </c>
      <c r="C50" t="s">
        <v>83</v>
      </c>
      <c r="D50">
        <v>41</v>
      </c>
      <c r="E50" t="str">
        <f t="shared" si="0"/>
        <v>MARRIED</v>
      </c>
      <c r="F50" t="str">
        <f t="shared" si="1"/>
        <v>QUARTERS</v>
      </c>
      <c r="G50" t="str">
        <f t="shared" si="2"/>
        <v>IT</v>
      </c>
      <c r="H50">
        <f t="shared" si="3"/>
        <v>25</v>
      </c>
      <c r="I50" t="str">
        <f t="shared" si="4"/>
        <v>BSC</v>
      </c>
      <c r="J50">
        <f t="shared" si="5"/>
        <v>15</v>
      </c>
      <c r="K50">
        <f t="shared" si="6"/>
        <v>3200</v>
      </c>
    </row>
    <row r="51" spans="1:11" x14ac:dyDescent="0.25">
      <c r="A51">
        <v>41</v>
      </c>
      <c r="B51" t="s">
        <v>42</v>
      </c>
      <c r="C51" t="s">
        <v>82</v>
      </c>
      <c r="D51">
        <v>30</v>
      </c>
      <c r="E51" t="str">
        <f t="shared" si="0"/>
        <v>SINGLE</v>
      </c>
      <c r="F51" t="str">
        <f t="shared" si="1"/>
        <v>QUARTERS</v>
      </c>
      <c r="G51" t="str">
        <f t="shared" si="2"/>
        <v>FINANCE</v>
      </c>
      <c r="H51">
        <f t="shared" si="3"/>
        <v>12</v>
      </c>
      <c r="I51" t="str">
        <f t="shared" si="4"/>
        <v>HND</v>
      </c>
      <c r="J51">
        <f t="shared" si="5"/>
        <v>20</v>
      </c>
      <c r="K51">
        <f t="shared" si="6"/>
        <v>2250</v>
      </c>
    </row>
    <row r="52" spans="1:11" x14ac:dyDescent="0.25">
      <c r="A52">
        <v>42</v>
      </c>
      <c r="B52" t="s">
        <v>43</v>
      </c>
      <c r="C52" t="s">
        <v>82</v>
      </c>
      <c r="D52">
        <v>28</v>
      </c>
      <c r="E52" t="str">
        <f t="shared" si="0"/>
        <v>SINGLE</v>
      </c>
      <c r="F52" t="str">
        <f t="shared" si="1"/>
        <v>OFF QUARTERS</v>
      </c>
      <c r="G52" t="str">
        <f t="shared" si="2"/>
        <v>FINANCE</v>
      </c>
      <c r="H52">
        <f t="shared" si="3"/>
        <v>12</v>
      </c>
      <c r="I52" t="str">
        <f t="shared" si="4"/>
        <v>BSC</v>
      </c>
      <c r="J52">
        <f t="shared" si="5"/>
        <v>15</v>
      </c>
      <c r="K52">
        <f t="shared" si="6"/>
        <v>3200</v>
      </c>
    </row>
    <row r="53" spans="1:11" x14ac:dyDescent="0.25">
      <c r="A53">
        <v>43</v>
      </c>
      <c r="B53" t="s">
        <v>44</v>
      </c>
      <c r="C53" t="s">
        <v>82</v>
      </c>
      <c r="D53">
        <v>18</v>
      </c>
      <c r="E53" t="str">
        <f t="shared" si="0"/>
        <v>SINGLE</v>
      </c>
      <c r="F53" t="str">
        <f t="shared" si="1"/>
        <v>OFF QUARTERS</v>
      </c>
      <c r="G53" t="str">
        <f t="shared" si="2"/>
        <v>FINANCE</v>
      </c>
      <c r="H53">
        <f t="shared" si="3"/>
        <v>2</v>
      </c>
      <c r="I53" t="str">
        <f t="shared" si="4"/>
        <v>SSCE</v>
      </c>
      <c r="J53">
        <f t="shared" si="5"/>
        <v>24</v>
      </c>
      <c r="K53">
        <f t="shared" si="6"/>
        <v>1100</v>
      </c>
    </row>
    <row r="54" spans="1:11" x14ac:dyDescent="0.25">
      <c r="A54">
        <v>44</v>
      </c>
      <c r="B54" t="s">
        <v>45</v>
      </c>
      <c r="C54" t="s">
        <v>82</v>
      </c>
      <c r="D54">
        <v>33</v>
      </c>
      <c r="E54" t="str">
        <f t="shared" si="0"/>
        <v>MARRIED</v>
      </c>
      <c r="F54" t="str">
        <f t="shared" si="1"/>
        <v>QUARTERS</v>
      </c>
      <c r="G54" t="str">
        <f t="shared" si="2"/>
        <v>IT</v>
      </c>
      <c r="H54">
        <f t="shared" si="3"/>
        <v>12</v>
      </c>
      <c r="I54" t="str">
        <f t="shared" si="4"/>
        <v>BSC</v>
      </c>
      <c r="J54">
        <f t="shared" si="5"/>
        <v>15</v>
      </c>
      <c r="K54">
        <f t="shared" si="6"/>
        <v>3200</v>
      </c>
    </row>
    <row r="55" spans="1:11" x14ac:dyDescent="0.25">
      <c r="A55">
        <v>45</v>
      </c>
      <c r="B55" t="s">
        <v>46</v>
      </c>
      <c r="C55" t="s">
        <v>82</v>
      </c>
      <c r="D55">
        <v>44</v>
      </c>
      <c r="E55" t="str">
        <f t="shared" si="0"/>
        <v>MARRIED</v>
      </c>
      <c r="F55" t="str">
        <f t="shared" si="1"/>
        <v>QUARTERS</v>
      </c>
      <c r="G55" t="str">
        <f t="shared" si="2"/>
        <v>IT</v>
      </c>
      <c r="H55">
        <f t="shared" si="3"/>
        <v>25</v>
      </c>
      <c r="I55" t="str">
        <f t="shared" si="4"/>
        <v>BSC</v>
      </c>
      <c r="J55">
        <f t="shared" si="5"/>
        <v>15</v>
      </c>
      <c r="K55">
        <f t="shared" si="6"/>
        <v>3200</v>
      </c>
    </row>
    <row r="56" spans="1:11" x14ac:dyDescent="0.25">
      <c r="A56">
        <v>46</v>
      </c>
      <c r="B56" t="s">
        <v>47</v>
      </c>
      <c r="C56" t="s">
        <v>82</v>
      </c>
      <c r="D56">
        <v>25</v>
      </c>
      <c r="E56" t="str">
        <f t="shared" si="0"/>
        <v>SINGLE</v>
      </c>
      <c r="F56" t="str">
        <f t="shared" si="1"/>
        <v>OFF QUARTERS</v>
      </c>
      <c r="G56" t="str">
        <f t="shared" si="2"/>
        <v>FINANCE</v>
      </c>
      <c r="H56">
        <f t="shared" si="3"/>
        <v>7</v>
      </c>
      <c r="I56" t="str">
        <f t="shared" si="4"/>
        <v>ND</v>
      </c>
      <c r="J56">
        <f t="shared" si="5"/>
        <v>22</v>
      </c>
      <c r="K56">
        <f t="shared" si="6"/>
        <v>1400</v>
      </c>
    </row>
    <row r="57" spans="1:11" x14ac:dyDescent="0.25">
      <c r="A57">
        <v>47</v>
      </c>
      <c r="B57" t="s">
        <v>48</v>
      </c>
      <c r="C57" t="s">
        <v>82</v>
      </c>
      <c r="D57">
        <v>52</v>
      </c>
      <c r="E57" t="str">
        <f t="shared" si="0"/>
        <v>MARRIED</v>
      </c>
      <c r="F57" t="str">
        <f t="shared" si="1"/>
        <v>QUARTERS</v>
      </c>
      <c r="G57" t="str">
        <f t="shared" si="2"/>
        <v>IT</v>
      </c>
      <c r="H57">
        <f t="shared" si="3"/>
        <v>25</v>
      </c>
      <c r="I57" t="str">
        <f t="shared" si="4"/>
        <v>BSC</v>
      </c>
      <c r="J57">
        <f t="shared" si="5"/>
        <v>15</v>
      </c>
      <c r="K57">
        <f t="shared" si="6"/>
        <v>3200</v>
      </c>
    </row>
    <row r="58" spans="1:11" x14ac:dyDescent="0.25">
      <c r="A58">
        <v>48</v>
      </c>
      <c r="B58" t="s">
        <v>49</v>
      </c>
      <c r="C58" t="s">
        <v>82</v>
      </c>
      <c r="D58">
        <v>48</v>
      </c>
      <c r="E58" t="str">
        <f t="shared" si="0"/>
        <v>MARRIED</v>
      </c>
      <c r="F58" t="str">
        <f t="shared" si="1"/>
        <v>QUARTERS</v>
      </c>
      <c r="G58" t="str">
        <f t="shared" si="2"/>
        <v>IT</v>
      </c>
      <c r="H58">
        <f t="shared" si="3"/>
        <v>25</v>
      </c>
      <c r="I58" t="str">
        <f t="shared" si="4"/>
        <v>BSC</v>
      </c>
      <c r="J58">
        <f t="shared" si="5"/>
        <v>15</v>
      </c>
      <c r="K58">
        <f t="shared" si="6"/>
        <v>3200</v>
      </c>
    </row>
    <row r="59" spans="1:11" x14ac:dyDescent="0.25">
      <c r="A59">
        <v>49</v>
      </c>
      <c r="B59" t="s">
        <v>50</v>
      </c>
      <c r="C59" t="s">
        <v>82</v>
      </c>
      <c r="D59">
        <v>43</v>
      </c>
      <c r="E59" t="str">
        <f t="shared" si="0"/>
        <v>MARRIED</v>
      </c>
      <c r="F59" t="str">
        <f t="shared" si="1"/>
        <v>QUARTERS</v>
      </c>
      <c r="G59" t="str">
        <f t="shared" si="2"/>
        <v>IT</v>
      </c>
      <c r="H59">
        <f t="shared" si="3"/>
        <v>25</v>
      </c>
      <c r="I59" t="str">
        <f t="shared" si="4"/>
        <v>BSC</v>
      </c>
      <c r="J59">
        <f t="shared" si="5"/>
        <v>15</v>
      </c>
      <c r="K59">
        <f t="shared" si="6"/>
        <v>3200</v>
      </c>
    </row>
    <row r="60" spans="1:11" x14ac:dyDescent="0.25">
      <c r="A60">
        <v>50</v>
      </c>
      <c r="B60" t="s">
        <v>51</v>
      </c>
      <c r="C60" t="s">
        <v>82</v>
      </c>
      <c r="D60">
        <v>39</v>
      </c>
      <c r="E60" t="str">
        <f t="shared" si="0"/>
        <v>MARRIED</v>
      </c>
      <c r="F60" t="str">
        <f t="shared" si="1"/>
        <v>QUARTERS</v>
      </c>
      <c r="G60" t="str">
        <f t="shared" si="2"/>
        <v>IT</v>
      </c>
      <c r="H60">
        <f t="shared" si="3"/>
        <v>25</v>
      </c>
      <c r="I60" t="str">
        <f t="shared" si="4"/>
        <v>BSC</v>
      </c>
      <c r="J60">
        <f t="shared" si="5"/>
        <v>15</v>
      </c>
      <c r="K60">
        <f t="shared" si="6"/>
        <v>3200</v>
      </c>
    </row>
    <row r="61" spans="1:11" x14ac:dyDescent="0.25">
      <c r="A61">
        <v>51</v>
      </c>
      <c r="B61" t="s">
        <v>52</v>
      </c>
      <c r="C61" t="s">
        <v>83</v>
      </c>
      <c r="D61">
        <v>38</v>
      </c>
      <c r="E61" t="str">
        <f t="shared" si="0"/>
        <v>MARRIED</v>
      </c>
      <c r="F61" t="str">
        <f t="shared" si="1"/>
        <v>QUARTERS</v>
      </c>
      <c r="G61" t="str">
        <f t="shared" si="2"/>
        <v>IT</v>
      </c>
      <c r="H61">
        <f t="shared" si="3"/>
        <v>25</v>
      </c>
      <c r="I61" t="str">
        <f t="shared" si="4"/>
        <v>BSC</v>
      </c>
      <c r="J61">
        <f t="shared" si="5"/>
        <v>15</v>
      </c>
      <c r="K61">
        <f t="shared" si="6"/>
        <v>3200</v>
      </c>
    </row>
    <row r="62" spans="1:11" x14ac:dyDescent="0.25">
      <c r="A62">
        <v>52</v>
      </c>
      <c r="B62" t="s">
        <v>53</v>
      </c>
      <c r="C62" t="s">
        <v>83</v>
      </c>
      <c r="D62">
        <v>37</v>
      </c>
      <c r="E62" t="str">
        <f t="shared" si="0"/>
        <v>MARRIED</v>
      </c>
      <c r="F62" t="str">
        <f t="shared" si="1"/>
        <v>QUARTERS</v>
      </c>
      <c r="G62" t="str">
        <f t="shared" si="2"/>
        <v>IT</v>
      </c>
      <c r="H62">
        <f t="shared" si="3"/>
        <v>25</v>
      </c>
      <c r="I62" t="str">
        <f t="shared" si="4"/>
        <v>BSC</v>
      </c>
      <c r="J62">
        <f t="shared" si="5"/>
        <v>15</v>
      </c>
      <c r="K62">
        <f t="shared" si="6"/>
        <v>3200</v>
      </c>
    </row>
    <row r="63" spans="1:11" x14ac:dyDescent="0.25">
      <c r="A63">
        <v>53</v>
      </c>
      <c r="B63" t="s">
        <v>54</v>
      </c>
      <c r="C63" t="s">
        <v>83</v>
      </c>
      <c r="D63">
        <v>36</v>
      </c>
      <c r="E63" t="str">
        <f t="shared" si="0"/>
        <v>MARRIED</v>
      </c>
      <c r="F63" t="str">
        <f t="shared" si="1"/>
        <v>QUARTERS</v>
      </c>
      <c r="G63" t="str">
        <f t="shared" si="2"/>
        <v>IT</v>
      </c>
      <c r="H63">
        <f t="shared" si="3"/>
        <v>25</v>
      </c>
      <c r="I63" t="str">
        <f t="shared" si="4"/>
        <v>BSC</v>
      </c>
      <c r="J63">
        <f t="shared" si="5"/>
        <v>15</v>
      </c>
      <c r="K63">
        <f t="shared" si="6"/>
        <v>3200</v>
      </c>
    </row>
    <row r="64" spans="1:11" x14ac:dyDescent="0.25">
      <c r="A64">
        <v>54</v>
      </c>
      <c r="B64" t="s">
        <v>55</v>
      </c>
      <c r="C64" t="s">
        <v>83</v>
      </c>
      <c r="D64">
        <v>20</v>
      </c>
      <c r="E64" t="str">
        <f t="shared" si="0"/>
        <v>SINGLE</v>
      </c>
      <c r="F64" t="str">
        <f t="shared" si="1"/>
        <v>OFF QUARTERS</v>
      </c>
      <c r="G64" t="str">
        <f t="shared" si="2"/>
        <v>IT</v>
      </c>
      <c r="H64">
        <f t="shared" si="3"/>
        <v>2</v>
      </c>
      <c r="I64" t="str">
        <f t="shared" si="4"/>
        <v>SSCE</v>
      </c>
      <c r="J64">
        <f t="shared" si="5"/>
        <v>24</v>
      </c>
      <c r="K64">
        <f t="shared" si="6"/>
        <v>1100</v>
      </c>
    </row>
    <row r="65" spans="1:11" x14ac:dyDescent="0.25">
      <c r="A65">
        <v>55</v>
      </c>
      <c r="B65" t="s">
        <v>56</v>
      </c>
      <c r="C65" t="s">
        <v>83</v>
      </c>
      <c r="D65">
        <v>23</v>
      </c>
      <c r="E65" t="str">
        <f t="shared" si="0"/>
        <v>SINGLE</v>
      </c>
      <c r="F65" t="str">
        <f t="shared" si="1"/>
        <v>OFF QUARTERS</v>
      </c>
      <c r="G65" t="str">
        <f t="shared" si="2"/>
        <v>IT</v>
      </c>
      <c r="H65">
        <f t="shared" si="3"/>
        <v>7</v>
      </c>
      <c r="I65" t="str">
        <f t="shared" si="4"/>
        <v>NCE</v>
      </c>
      <c r="J65">
        <f t="shared" si="5"/>
        <v>23</v>
      </c>
      <c r="K65">
        <f t="shared" si="6"/>
        <v>1150</v>
      </c>
    </row>
    <row r="66" spans="1:11" x14ac:dyDescent="0.25">
      <c r="A66">
        <v>56</v>
      </c>
      <c r="B66" t="s">
        <v>57</v>
      </c>
      <c r="C66" t="s">
        <v>83</v>
      </c>
      <c r="D66">
        <v>32</v>
      </c>
      <c r="E66" t="str">
        <f t="shared" si="0"/>
        <v>MARRIED</v>
      </c>
      <c r="F66" t="str">
        <f t="shared" si="1"/>
        <v>QUARTERS</v>
      </c>
      <c r="G66" t="str">
        <f t="shared" si="2"/>
        <v>IT</v>
      </c>
      <c r="H66">
        <f t="shared" si="3"/>
        <v>12</v>
      </c>
      <c r="I66" t="str">
        <f t="shared" si="4"/>
        <v>BSC</v>
      </c>
      <c r="J66">
        <f t="shared" si="5"/>
        <v>15</v>
      </c>
      <c r="K66">
        <f t="shared" si="6"/>
        <v>3200</v>
      </c>
    </row>
    <row r="67" spans="1:11" x14ac:dyDescent="0.25">
      <c r="A67">
        <v>57</v>
      </c>
      <c r="B67" t="s">
        <v>58</v>
      </c>
      <c r="C67" t="s">
        <v>82</v>
      </c>
      <c r="D67">
        <v>25</v>
      </c>
      <c r="E67" t="str">
        <f t="shared" si="0"/>
        <v>SINGLE</v>
      </c>
      <c r="F67" t="str">
        <f t="shared" si="1"/>
        <v>OFF QUARTERS</v>
      </c>
      <c r="G67" t="str">
        <f t="shared" si="2"/>
        <v>FINANCE</v>
      </c>
      <c r="H67">
        <f t="shared" si="3"/>
        <v>7</v>
      </c>
      <c r="I67" t="str">
        <f t="shared" si="4"/>
        <v>ND</v>
      </c>
      <c r="J67">
        <f t="shared" si="5"/>
        <v>22</v>
      </c>
      <c r="K67">
        <f t="shared" si="6"/>
        <v>1400</v>
      </c>
    </row>
    <row r="68" spans="1:11" x14ac:dyDescent="0.25">
      <c r="A68">
        <v>58</v>
      </c>
      <c r="B68" t="s">
        <v>59</v>
      </c>
      <c r="C68" t="s">
        <v>82</v>
      </c>
      <c r="D68">
        <v>26</v>
      </c>
      <c r="E68" t="str">
        <f t="shared" si="0"/>
        <v>SINGLE</v>
      </c>
      <c r="F68" t="str">
        <f t="shared" si="1"/>
        <v>OFF QUARTERS</v>
      </c>
      <c r="G68" t="str">
        <f t="shared" si="2"/>
        <v>FINANCE</v>
      </c>
      <c r="H68">
        <f t="shared" si="3"/>
        <v>7</v>
      </c>
      <c r="I68" t="str">
        <f t="shared" si="4"/>
        <v>BSC</v>
      </c>
      <c r="J68">
        <f t="shared" si="5"/>
        <v>15</v>
      </c>
      <c r="K68">
        <f t="shared" si="6"/>
        <v>3200</v>
      </c>
    </row>
    <row r="69" spans="1:11" x14ac:dyDescent="0.25">
      <c r="A69">
        <v>59</v>
      </c>
      <c r="B69" t="s">
        <v>60</v>
      </c>
      <c r="C69" t="s">
        <v>82</v>
      </c>
      <c r="D69">
        <v>27</v>
      </c>
      <c r="E69" t="str">
        <f t="shared" si="0"/>
        <v>SINGLE</v>
      </c>
      <c r="F69" t="str">
        <f t="shared" si="1"/>
        <v>OFF QUARTERS</v>
      </c>
      <c r="G69" t="str">
        <f t="shared" si="2"/>
        <v>FINANCE</v>
      </c>
      <c r="H69">
        <f t="shared" si="3"/>
        <v>12</v>
      </c>
      <c r="I69" t="str">
        <f t="shared" si="4"/>
        <v>BSC</v>
      </c>
      <c r="J69">
        <f t="shared" si="5"/>
        <v>15</v>
      </c>
      <c r="K69">
        <f t="shared" si="6"/>
        <v>3200</v>
      </c>
    </row>
    <row r="70" spans="1:11" x14ac:dyDescent="0.25">
      <c r="A70">
        <v>60</v>
      </c>
      <c r="B70" t="s">
        <v>61</v>
      </c>
      <c r="C70" t="s">
        <v>82</v>
      </c>
      <c r="D70">
        <v>28</v>
      </c>
      <c r="E70" t="str">
        <f t="shared" si="0"/>
        <v>SINGLE</v>
      </c>
      <c r="F70" t="str">
        <f t="shared" si="1"/>
        <v>OFF QUARTERS</v>
      </c>
      <c r="G70" t="str">
        <f t="shared" si="2"/>
        <v>FINANCE</v>
      </c>
      <c r="H70">
        <f t="shared" si="3"/>
        <v>12</v>
      </c>
      <c r="I70" t="str">
        <f t="shared" si="4"/>
        <v>BSC</v>
      </c>
      <c r="J70">
        <f t="shared" si="5"/>
        <v>15</v>
      </c>
      <c r="K70">
        <f t="shared" si="6"/>
        <v>3200</v>
      </c>
    </row>
    <row r="71" spans="1:11" x14ac:dyDescent="0.25">
      <c r="A71">
        <v>61</v>
      </c>
      <c r="B71" t="s">
        <v>62</v>
      </c>
      <c r="C71" t="s">
        <v>82</v>
      </c>
      <c r="D71">
        <v>29</v>
      </c>
      <c r="E71" t="str">
        <f t="shared" si="0"/>
        <v>SINGLE</v>
      </c>
      <c r="F71" t="str">
        <f t="shared" si="1"/>
        <v>OFF QUARTERS</v>
      </c>
      <c r="G71" t="str">
        <f t="shared" si="2"/>
        <v>FINANCE</v>
      </c>
      <c r="H71">
        <f t="shared" si="3"/>
        <v>12</v>
      </c>
      <c r="I71" t="str">
        <f t="shared" si="4"/>
        <v>BSC</v>
      </c>
      <c r="J71">
        <f t="shared" si="5"/>
        <v>15</v>
      </c>
      <c r="K71">
        <f t="shared" si="6"/>
        <v>3200</v>
      </c>
    </row>
    <row r="72" spans="1:11" x14ac:dyDescent="0.25">
      <c r="A72">
        <v>62</v>
      </c>
      <c r="B72" t="s">
        <v>63</v>
      </c>
      <c r="C72" t="s">
        <v>82</v>
      </c>
      <c r="D72">
        <v>30</v>
      </c>
      <c r="E72" t="str">
        <f t="shared" si="0"/>
        <v>SINGLE</v>
      </c>
      <c r="F72" t="str">
        <f t="shared" si="1"/>
        <v>QUARTERS</v>
      </c>
      <c r="G72" t="str">
        <f t="shared" si="2"/>
        <v>FINANCE</v>
      </c>
      <c r="H72">
        <f t="shared" si="3"/>
        <v>12</v>
      </c>
      <c r="I72" t="str">
        <f t="shared" si="4"/>
        <v>HND</v>
      </c>
      <c r="J72">
        <f t="shared" si="5"/>
        <v>20</v>
      </c>
      <c r="K72">
        <f t="shared" si="6"/>
        <v>2250</v>
      </c>
    </row>
    <row r="73" spans="1:11" x14ac:dyDescent="0.25">
      <c r="A73">
        <v>63</v>
      </c>
      <c r="B73" t="s">
        <v>64</v>
      </c>
      <c r="C73" t="s">
        <v>82</v>
      </c>
      <c r="D73">
        <v>31</v>
      </c>
      <c r="E73" t="str">
        <f t="shared" si="0"/>
        <v>MARRIED</v>
      </c>
      <c r="F73" t="str">
        <f t="shared" si="1"/>
        <v>QUARTERS</v>
      </c>
      <c r="G73" t="str">
        <f t="shared" si="2"/>
        <v>IT</v>
      </c>
      <c r="H73">
        <f t="shared" si="3"/>
        <v>12</v>
      </c>
      <c r="I73" t="str">
        <f t="shared" si="4"/>
        <v>BSC</v>
      </c>
      <c r="J73">
        <f t="shared" si="5"/>
        <v>15</v>
      </c>
      <c r="K73">
        <f t="shared" si="6"/>
        <v>3200</v>
      </c>
    </row>
    <row r="74" spans="1:11" x14ac:dyDescent="0.25">
      <c r="A74">
        <v>64</v>
      </c>
      <c r="B74" t="s">
        <v>65</v>
      </c>
      <c r="C74" t="s">
        <v>82</v>
      </c>
      <c r="D74">
        <v>32</v>
      </c>
      <c r="E74" t="str">
        <f t="shared" si="0"/>
        <v>MARRIED</v>
      </c>
      <c r="F74" t="str">
        <f t="shared" si="1"/>
        <v>QUARTERS</v>
      </c>
      <c r="G74" t="str">
        <f t="shared" si="2"/>
        <v>IT</v>
      </c>
      <c r="H74">
        <f t="shared" si="3"/>
        <v>12</v>
      </c>
      <c r="I74" t="str">
        <f t="shared" si="4"/>
        <v>BSC</v>
      </c>
      <c r="J74">
        <f t="shared" si="5"/>
        <v>15</v>
      </c>
      <c r="K74">
        <f t="shared" si="6"/>
        <v>3200</v>
      </c>
    </row>
    <row r="75" spans="1:11" x14ac:dyDescent="0.25">
      <c r="A75">
        <v>65</v>
      </c>
      <c r="B75" t="s">
        <v>66</v>
      </c>
      <c r="C75" t="s">
        <v>83</v>
      </c>
      <c r="D75">
        <v>34</v>
      </c>
      <c r="E75" t="str">
        <f t="shared" si="0"/>
        <v>MARRIED</v>
      </c>
      <c r="F75" t="str">
        <f t="shared" si="1"/>
        <v>QUARTERS</v>
      </c>
      <c r="G75" t="str">
        <f t="shared" si="2"/>
        <v>IT</v>
      </c>
      <c r="H75">
        <f t="shared" si="3"/>
        <v>12</v>
      </c>
      <c r="I75" t="str">
        <f t="shared" si="4"/>
        <v>BSC</v>
      </c>
      <c r="J75">
        <f t="shared" si="5"/>
        <v>15</v>
      </c>
      <c r="K75">
        <f t="shared" si="6"/>
        <v>3200</v>
      </c>
    </row>
    <row r="76" spans="1:11" x14ac:dyDescent="0.25">
      <c r="A76">
        <v>66</v>
      </c>
      <c r="B76" t="s">
        <v>67</v>
      </c>
      <c r="C76" t="s">
        <v>83</v>
      </c>
      <c r="D76">
        <v>36</v>
      </c>
      <c r="E76" t="str">
        <f t="shared" ref="E76:E90" si="7">IF(AND(D76&lt;=30),"SINGLE","MARRIED")</f>
        <v>MARRIED</v>
      </c>
      <c r="F76" t="str">
        <f t="shared" ref="F76:F90" si="8">IF(AND(D76&gt;=30),"QUARTERS","OFF QUARTERS")</f>
        <v>QUARTERS</v>
      </c>
      <c r="G76" t="str">
        <f t="shared" ref="G76:G90" si="9">IF(AND(C76="FEMALE",D76&lt;=30),"FINANCE","IT")</f>
        <v>IT</v>
      </c>
      <c r="H76">
        <f t="shared" ref="H76:H90" si="10">IF(AND(D76&lt;=22),2,IF(AND(D76&lt;=26),7,IF(AND(D76&lt;=35),12,25)))</f>
        <v>25</v>
      </c>
      <c r="I76" t="str">
        <f t="shared" ref="I76:I90" si="11">IF(AND(D76&lt;=20),"SSCE",IF(AND(D76&lt;=23),"NCE",IF(AND(D76&lt;=25),"ND",IF(AND(D76=30),"HND","BSC"))))</f>
        <v>BSC</v>
      </c>
      <c r="J76">
        <f t="shared" ref="J76:J90" si="12">IF(AND(I76="SSCE"),24,IF(AND(I76="NCE"),23,IF(AND(I76="ND"),22,IF(AND(I76="HND"),20,IF(AND(I76="BSC"),15)))))</f>
        <v>15</v>
      </c>
      <c r="K76">
        <f t="shared" ref="K76:K90" si="13">IF(AND(I76="SSCE"),1100,IF(AND(I76="NCE"),1150,IF(AND(I76="ND"),1400,IF(AND(I76="HND"),2250,3200))))</f>
        <v>3200</v>
      </c>
    </row>
    <row r="77" spans="1:11" x14ac:dyDescent="0.25">
      <c r="A77">
        <v>67</v>
      </c>
      <c r="B77" t="s">
        <v>68</v>
      </c>
      <c r="C77" t="s">
        <v>83</v>
      </c>
      <c r="D77">
        <v>37</v>
      </c>
      <c r="E77" t="str">
        <f t="shared" si="7"/>
        <v>MARRIED</v>
      </c>
      <c r="F77" t="str">
        <f t="shared" si="8"/>
        <v>QUARTERS</v>
      </c>
      <c r="G77" t="str">
        <f t="shared" si="9"/>
        <v>IT</v>
      </c>
      <c r="H77">
        <f t="shared" si="10"/>
        <v>25</v>
      </c>
      <c r="I77" t="str">
        <f t="shared" si="11"/>
        <v>BSC</v>
      </c>
      <c r="J77">
        <f t="shared" si="12"/>
        <v>15</v>
      </c>
      <c r="K77">
        <f t="shared" si="13"/>
        <v>3200</v>
      </c>
    </row>
    <row r="78" spans="1:11" x14ac:dyDescent="0.25">
      <c r="A78">
        <v>68</v>
      </c>
      <c r="B78" t="s">
        <v>69</v>
      </c>
      <c r="C78" t="s">
        <v>83</v>
      </c>
      <c r="D78">
        <v>25</v>
      </c>
      <c r="E78" t="str">
        <f t="shared" si="7"/>
        <v>SINGLE</v>
      </c>
      <c r="F78" t="str">
        <f t="shared" si="8"/>
        <v>OFF QUARTERS</v>
      </c>
      <c r="G78" t="str">
        <f t="shared" si="9"/>
        <v>IT</v>
      </c>
      <c r="H78">
        <f t="shared" si="10"/>
        <v>7</v>
      </c>
      <c r="I78" t="str">
        <f t="shared" si="11"/>
        <v>ND</v>
      </c>
      <c r="J78">
        <f t="shared" si="12"/>
        <v>22</v>
      </c>
      <c r="K78">
        <f t="shared" si="13"/>
        <v>1400</v>
      </c>
    </row>
    <row r="79" spans="1:11" x14ac:dyDescent="0.25">
      <c r="A79">
        <v>69</v>
      </c>
      <c r="B79" t="s">
        <v>70</v>
      </c>
      <c r="C79" t="s">
        <v>83</v>
      </c>
      <c r="D79">
        <v>27</v>
      </c>
      <c r="E79" t="str">
        <f t="shared" si="7"/>
        <v>SINGLE</v>
      </c>
      <c r="F79" t="str">
        <f t="shared" si="8"/>
        <v>OFF QUARTERS</v>
      </c>
      <c r="G79" t="str">
        <f t="shared" si="9"/>
        <v>IT</v>
      </c>
      <c r="H79">
        <f t="shared" si="10"/>
        <v>12</v>
      </c>
      <c r="I79" t="str">
        <f t="shared" si="11"/>
        <v>BSC</v>
      </c>
      <c r="J79">
        <f t="shared" si="12"/>
        <v>15</v>
      </c>
      <c r="K79">
        <f t="shared" si="13"/>
        <v>3200</v>
      </c>
    </row>
    <row r="80" spans="1:11" x14ac:dyDescent="0.25">
      <c r="A80">
        <v>70</v>
      </c>
      <c r="B80" t="s">
        <v>71</v>
      </c>
      <c r="C80" t="s">
        <v>83</v>
      </c>
      <c r="D80">
        <v>28</v>
      </c>
      <c r="E80" t="str">
        <f t="shared" si="7"/>
        <v>SINGLE</v>
      </c>
      <c r="F80" t="str">
        <f t="shared" si="8"/>
        <v>OFF QUARTERS</v>
      </c>
      <c r="G80" t="str">
        <f t="shared" si="9"/>
        <v>IT</v>
      </c>
      <c r="H80">
        <f t="shared" si="10"/>
        <v>12</v>
      </c>
      <c r="I80" t="str">
        <f t="shared" si="11"/>
        <v>BSC</v>
      </c>
      <c r="J80">
        <f t="shared" si="12"/>
        <v>15</v>
      </c>
      <c r="K80">
        <f t="shared" si="13"/>
        <v>3200</v>
      </c>
    </row>
    <row r="81" spans="1:11" x14ac:dyDescent="0.25">
      <c r="A81">
        <v>71</v>
      </c>
      <c r="B81" t="s">
        <v>72</v>
      </c>
      <c r="C81" t="s">
        <v>83</v>
      </c>
      <c r="D81">
        <v>19</v>
      </c>
      <c r="E81" t="str">
        <f t="shared" si="7"/>
        <v>SINGLE</v>
      </c>
      <c r="F81" t="str">
        <f t="shared" si="8"/>
        <v>OFF QUARTERS</v>
      </c>
      <c r="G81" t="str">
        <f t="shared" si="9"/>
        <v>IT</v>
      </c>
      <c r="H81">
        <f t="shared" si="10"/>
        <v>2</v>
      </c>
      <c r="I81" t="str">
        <f t="shared" si="11"/>
        <v>SSCE</v>
      </c>
      <c r="J81">
        <f t="shared" si="12"/>
        <v>24</v>
      </c>
      <c r="K81">
        <f t="shared" si="13"/>
        <v>1100</v>
      </c>
    </row>
    <row r="82" spans="1:11" x14ac:dyDescent="0.25">
      <c r="A82">
        <v>72</v>
      </c>
      <c r="B82" t="s">
        <v>73</v>
      </c>
      <c r="C82" t="s">
        <v>83</v>
      </c>
      <c r="D82">
        <v>30</v>
      </c>
      <c r="E82" t="str">
        <f t="shared" si="7"/>
        <v>SINGLE</v>
      </c>
      <c r="F82" t="str">
        <f t="shared" si="8"/>
        <v>QUARTERS</v>
      </c>
      <c r="G82" t="str">
        <f t="shared" si="9"/>
        <v>IT</v>
      </c>
      <c r="H82">
        <f t="shared" si="10"/>
        <v>12</v>
      </c>
      <c r="I82" t="str">
        <f t="shared" si="11"/>
        <v>HND</v>
      </c>
      <c r="J82">
        <f t="shared" si="12"/>
        <v>20</v>
      </c>
      <c r="K82">
        <f t="shared" si="13"/>
        <v>2250</v>
      </c>
    </row>
    <row r="83" spans="1:11" x14ac:dyDescent="0.25">
      <c r="A83">
        <v>73</v>
      </c>
      <c r="B83" t="s">
        <v>14</v>
      </c>
      <c r="C83" t="s">
        <v>83</v>
      </c>
      <c r="D83">
        <v>26</v>
      </c>
      <c r="E83" t="str">
        <f t="shared" si="7"/>
        <v>SINGLE</v>
      </c>
      <c r="F83" t="str">
        <f t="shared" si="8"/>
        <v>OFF QUARTERS</v>
      </c>
      <c r="G83" t="str">
        <f t="shared" si="9"/>
        <v>IT</v>
      </c>
      <c r="H83">
        <f t="shared" si="10"/>
        <v>7</v>
      </c>
      <c r="I83" t="str">
        <f t="shared" si="11"/>
        <v>BSC</v>
      </c>
      <c r="J83">
        <f t="shared" si="12"/>
        <v>15</v>
      </c>
      <c r="K83">
        <f t="shared" si="13"/>
        <v>3200</v>
      </c>
    </row>
    <row r="84" spans="1:11" x14ac:dyDescent="0.25">
      <c r="A84">
        <v>74</v>
      </c>
      <c r="B84" t="s">
        <v>74</v>
      </c>
      <c r="C84" t="s">
        <v>82</v>
      </c>
      <c r="D84">
        <v>36</v>
      </c>
      <c r="E84" t="str">
        <f t="shared" si="7"/>
        <v>MARRIED</v>
      </c>
      <c r="F84" t="str">
        <f t="shared" si="8"/>
        <v>QUARTERS</v>
      </c>
      <c r="G84" t="str">
        <f t="shared" si="9"/>
        <v>IT</v>
      </c>
      <c r="H84">
        <f t="shared" si="10"/>
        <v>25</v>
      </c>
      <c r="I84" t="str">
        <f t="shared" si="11"/>
        <v>BSC</v>
      </c>
      <c r="J84">
        <f t="shared" si="12"/>
        <v>15</v>
      </c>
      <c r="K84">
        <f t="shared" si="13"/>
        <v>3200</v>
      </c>
    </row>
    <row r="85" spans="1:11" x14ac:dyDescent="0.25">
      <c r="A85">
        <v>75</v>
      </c>
      <c r="B85" t="s">
        <v>75</v>
      </c>
      <c r="C85" t="s">
        <v>82</v>
      </c>
      <c r="D85">
        <v>46</v>
      </c>
      <c r="E85" t="str">
        <f t="shared" si="7"/>
        <v>MARRIED</v>
      </c>
      <c r="F85" t="str">
        <f t="shared" si="8"/>
        <v>QUARTERS</v>
      </c>
      <c r="G85" t="str">
        <f t="shared" si="9"/>
        <v>IT</v>
      </c>
      <c r="H85">
        <f t="shared" si="10"/>
        <v>25</v>
      </c>
      <c r="I85" t="str">
        <f t="shared" si="11"/>
        <v>BSC</v>
      </c>
      <c r="J85">
        <f t="shared" si="12"/>
        <v>15</v>
      </c>
      <c r="K85">
        <f t="shared" si="13"/>
        <v>3200</v>
      </c>
    </row>
    <row r="86" spans="1:11" x14ac:dyDescent="0.25">
      <c r="A86">
        <v>76</v>
      </c>
      <c r="B86" t="s">
        <v>76</v>
      </c>
      <c r="C86" t="s">
        <v>82</v>
      </c>
      <c r="D86">
        <v>42</v>
      </c>
      <c r="E86" t="str">
        <f t="shared" si="7"/>
        <v>MARRIED</v>
      </c>
      <c r="F86" t="str">
        <f t="shared" si="8"/>
        <v>QUARTERS</v>
      </c>
      <c r="G86" t="str">
        <f t="shared" si="9"/>
        <v>IT</v>
      </c>
      <c r="H86">
        <f t="shared" si="10"/>
        <v>25</v>
      </c>
      <c r="I86" t="str">
        <f t="shared" si="11"/>
        <v>BSC</v>
      </c>
      <c r="J86">
        <f t="shared" si="12"/>
        <v>15</v>
      </c>
      <c r="K86">
        <f t="shared" si="13"/>
        <v>3200</v>
      </c>
    </row>
    <row r="87" spans="1:11" x14ac:dyDescent="0.25">
      <c r="A87">
        <v>77</v>
      </c>
      <c r="B87" t="s">
        <v>77</v>
      </c>
      <c r="C87" t="s">
        <v>82</v>
      </c>
      <c r="D87">
        <v>41</v>
      </c>
      <c r="E87" t="str">
        <f t="shared" si="7"/>
        <v>MARRIED</v>
      </c>
      <c r="F87" t="str">
        <f t="shared" si="8"/>
        <v>QUARTERS</v>
      </c>
      <c r="G87" t="str">
        <f t="shared" si="9"/>
        <v>IT</v>
      </c>
      <c r="H87">
        <f t="shared" si="10"/>
        <v>25</v>
      </c>
      <c r="I87" t="str">
        <f t="shared" si="11"/>
        <v>BSC</v>
      </c>
      <c r="J87">
        <f t="shared" si="12"/>
        <v>15</v>
      </c>
      <c r="K87">
        <f t="shared" si="13"/>
        <v>3200</v>
      </c>
    </row>
    <row r="88" spans="1:11" x14ac:dyDescent="0.25">
      <c r="A88">
        <v>78</v>
      </c>
      <c r="B88" t="s">
        <v>78</v>
      </c>
      <c r="C88" t="s">
        <v>82</v>
      </c>
      <c r="D88">
        <v>30</v>
      </c>
      <c r="E88" t="str">
        <f t="shared" si="7"/>
        <v>SINGLE</v>
      </c>
      <c r="F88" t="str">
        <f t="shared" si="8"/>
        <v>QUARTERS</v>
      </c>
      <c r="G88" t="str">
        <f t="shared" si="9"/>
        <v>FINANCE</v>
      </c>
      <c r="H88">
        <f t="shared" si="10"/>
        <v>12</v>
      </c>
      <c r="I88" t="str">
        <f t="shared" si="11"/>
        <v>HND</v>
      </c>
      <c r="J88">
        <f t="shared" si="12"/>
        <v>20</v>
      </c>
      <c r="K88">
        <f t="shared" si="13"/>
        <v>2250</v>
      </c>
    </row>
    <row r="89" spans="1:11" x14ac:dyDescent="0.25">
      <c r="A89">
        <v>79</v>
      </c>
      <c r="B89" t="s">
        <v>79</v>
      </c>
      <c r="C89" t="s">
        <v>82</v>
      </c>
      <c r="D89">
        <v>28</v>
      </c>
      <c r="E89" t="str">
        <f t="shared" si="7"/>
        <v>SINGLE</v>
      </c>
      <c r="F89" t="str">
        <f t="shared" si="8"/>
        <v>OFF QUARTERS</v>
      </c>
      <c r="G89" t="str">
        <f t="shared" si="9"/>
        <v>FINANCE</v>
      </c>
      <c r="H89">
        <f t="shared" si="10"/>
        <v>12</v>
      </c>
      <c r="I89" t="str">
        <f t="shared" si="11"/>
        <v>BSC</v>
      </c>
      <c r="J89">
        <f t="shared" si="12"/>
        <v>15</v>
      </c>
      <c r="K89">
        <f t="shared" si="13"/>
        <v>3200</v>
      </c>
    </row>
    <row r="90" spans="1:11" x14ac:dyDescent="0.25">
      <c r="A90">
        <v>80</v>
      </c>
      <c r="B90" t="s">
        <v>80</v>
      </c>
      <c r="C90" t="s">
        <v>83</v>
      </c>
      <c r="D90">
        <v>20</v>
      </c>
      <c r="E90" t="str">
        <f t="shared" si="7"/>
        <v>SINGLE</v>
      </c>
      <c r="F90" t="str">
        <f t="shared" si="8"/>
        <v>OFF QUARTERS</v>
      </c>
      <c r="G90" t="str">
        <f t="shared" si="9"/>
        <v>IT</v>
      </c>
      <c r="H90">
        <f t="shared" si="10"/>
        <v>2</v>
      </c>
      <c r="I90" t="str">
        <f t="shared" si="11"/>
        <v>SSCE</v>
      </c>
      <c r="J90">
        <f t="shared" si="12"/>
        <v>24</v>
      </c>
      <c r="K90">
        <f t="shared" si="13"/>
        <v>1100</v>
      </c>
    </row>
  </sheetData>
  <mergeCells count="1">
    <mergeCell ref="F1:Q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65B30-FFA0-4CB2-8B24-3EDC3A45EEA7}">
  <dimension ref="A1:P88"/>
  <sheetViews>
    <sheetView workbookViewId="0">
      <selection activeCell="F1" sqref="F1:P6"/>
    </sheetView>
  </sheetViews>
  <sheetFormatPr defaultRowHeight="15" x14ac:dyDescent="0.25"/>
  <cols>
    <col min="4" max="4" width="18" bestFit="1" customWidth="1"/>
    <col min="5" max="5" width="29.7109375" bestFit="1" customWidth="1"/>
    <col min="6" max="6" width="21.7109375" bestFit="1" customWidth="1"/>
    <col min="7" max="7" width="21" bestFit="1" customWidth="1"/>
    <col min="8" max="8" width="14.28515625" bestFit="1" customWidth="1"/>
    <col min="10" max="10" width="17.42578125" bestFit="1" customWidth="1"/>
    <col min="12" max="12" width="13.28515625" bestFit="1" customWidth="1"/>
    <col min="13" max="13" width="11.5703125" bestFit="1" customWidth="1"/>
  </cols>
  <sheetData>
    <row r="1" spans="1:16" x14ac:dyDescent="0.25">
      <c r="F1" s="4" t="s">
        <v>0</v>
      </c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 x14ac:dyDescent="0.25"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x14ac:dyDescent="0.25"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x14ac:dyDescent="0.25"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x14ac:dyDescent="0.25"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pans="1:16" x14ac:dyDescent="0.25"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 x14ac:dyDescent="0.25">
      <c r="E7" s="5" t="s">
        <v>99</v>
      </c>
      <c r="F7" s="5"/>
      <c r="G7" s="5"/>
    </row>
    <row r="8" spans="1:16" s="2" customFormat="1" x14ac:dyDescent="0.25">
      <c r="A8" s="2" t="s">
        <v>1</v>
      </c>
      <c r="B8" s="2" t="s">
        <v>2</v>
      </c>
      <c r="C8" s="2" t="s">
        <v>92</v>
      </c>
      <c r="D8" s="2" t="s">
        <v>94</v>
      </c>
      <c r="E8" s="2" t="s">
        <v>95</v>
      </c>
      <c r="F8" s="2" t="s">
        <v>96</v>
      </c>
      <c r="G8" s="2" t="s">
        <v>97</v>
      </c>
      <c r="H8" s="2" t="s">
        <v>98</v>
      </c>
      <c r="I8" s="2" t="s">
        <v>100</v>
      </c>
      <c r="J8" s="2" t="s">
        <v>101</v>
      </c>
      <c r="K8" s="2" t="s">
        <v>102</v>
      </c>
      <c r="L8" s="2" t="s">
        <v>103</v>
      </c>
      <c r="M8" s="2" t="s">
        <v>104</v>
      </c>
    </row>
    <row r="9" spans="1:16" x14ac:dyDescent="0.25">
      <c r="A9">
        <v>1</v>
      </c>
      <c r="B9" t="str">
        <f>EMPLOYEEDATA!B11</f>
        <v>RUNSEWE</v>
      </c>
      <c r="C9">
        <f>IF(AND(EMPLOYEEDATA!I11="BSC"),8,IF(AND(EMPLOYEEDATA!I11="HND"),7,IF(AND(EMPLOYEEDATA!I11="ND"),5,IF(AND(EMPLOYEEDATA!I11="NCE"),4,2))))</f>
        <v>4</v>
      </c>
      <c r="D9">
        <f>PRODUCT(EMPLOYEEDATA!J11,EMPLOYEEDATA!K11)</f>
        <v>26450</v>
      </c>
      <c r="E9">
        <f>PRODUCT(D9*0.05)</f>
        <v>1322.5</v>
      </c>
      <c r="F9">
        <f>IF(AND(EMPLOYEEDATA!F11="OFF QUARTERS"),0.06*D9,0)</f>
        <v>1587</v>
      </c>
      <c r="G9">
        <f>(0.09*D9)</f>
        <v>2380.5</v>
      </c>
      <c r="H9">
        <f>SUM(D9,E9,F9,G9)</f>
        <v>31740</v>
      </c>
      <c r="I9">
        <f>0.075*D9</f>
        <v>1983.75</v>
      </c>
      <c r="J9">
        <f>0.03*D9</f>
        <v>793.5</v>
      </c>
      <c r="K9">
        <f>0.075*D9</f>
        <v>1983.75</v>
      </c>
      <c r="L9">
        <f>SUM(I9:K9)</f>
        <v>4761</v>
      </c>
      <c r="M9">
        <f>H9-L9</f>
        <v>26979</v>
      </c>
    </row>
    <row r="10" spans="1:16" x14ac:dyDescent="0.25">
      <c r="A10">
        <v>2</v>
      </c>
      <c r="B10" t="str">
        <f>EMPLOYEEDATA!B12</f>
        <v>IFEOLUWA</v>
      </c>
      <c r="C10">
        <f>IF(AND(EMPLOYEEDATA!I12="BSC"),8,IF(AND(EMPLOYEEDATA!I12="HND"),7,IF(AND(EMPLOYEEDATA!I12="ND"),5,IF(AND(EMPLOYEEDATA!I12="NCE"),4,2))))</f>
        <v>4</v>
      </c>
      <c r="D10">
        <f>PRODUCT(EMPLOYEEDATA!J12,EMPLOYEEDATA!K12)</f>
        <v>26450</v>
      </c>
      <c r="E10">
        <f t="shared" ref="E10:E73" si="0">PRODUCT(D10*0.05)</f>
        <v>1322.5</v>
      </c>
      <c r="F10">
        <f>IF(AND(EMPLOYEEDATA!F12="OFF QUARTERS"),0.06*D10,0)</f>
        <v>1587</v>
      </c>
      <c r="G10">
        <f t="shared" ref="G10:G73" si="1">(0.09*D10)</f>
        <v>2380.5</v>
      </c>
      <c r="H10">
        <f t="shared" ref="H10:H73" si="2">SUM(D10,E10,F10,G10)</f>
        <v>31740</v>
      </c>
      <c r="I10">
        <f t="shared" ref="I10:I73" si="3">0.075*D10</f>
        <v>1983.75</v>
      </c>
      <c r="J10">
        <f t="shared" ref="J10:J73" si="4">0.03*D10</f>
        <v>793.5</v>
      </c>
      <c r="K10">
        <f t="shared" ref="K10:K73" si="5">0.075*D10</f>
        <v>1983.75</v>
      </c>
      <c r="L10">
        <f t="shared" ref="L10:L73" si="6">SUM(I10:K10)</f>
        <v>4761</v>
      </c>
      <c r="M10">
        <f t="shared" ref="M10:M73" si="7">H10-L10</f>
        <v>26979</v>
      </c>
    </row>
    <row r="11" spans="1:16" x14ac:dyDescent="0.25">
      <c r="A11">
        <v>3</v>
      </c>
      <c r="B11" t="str">
        <f>EMPLOYEEDATA!B13</f>
        <v>RUTH</v>
      </c>
      <c r="C11">
        <f>IF(AND(EMPLOYEEDATA!I13="BSC"),8,IF(AND(EMPLOYEEDATA!I13="HND"),7,IF(AND(EMPLOYEEDATA!I13="ND"),5,IF(AND(EMPLOYEEDATA!I13="NCE"),4,2))))</f>
        <v>2</v>
      </c>
      <c r="D11">
        <f>PRODUCT(EMPLOYEEDATA!J13,EMPLOYEEDATA!K13)</f>
        <v>26400</v>
      </c>
      <c r="E11">
        <f t="shared" si="0"/>
        <v>1320</v>
      </c>
      <c r="F11">
        <f>IF(AND(EMPLOYEEDATA!F13="OFF QUARTERS"),0.06*D11,0)</f>
        <v>1584</v>
      </c>
      <c r="G11">
        <f t="shared" si="1"/>
        <v>2376</v>
      </c>
      <c r="H11">
        <f t="shared" si="2"/>
        <v>31680</v>
      </c>
      <c r="I11">
        <f t="shared" si="3"/>
        <v>1980</v>
      </c>
      <c r="J11">
        <f t="shared" si="4"/>
        <v>792</v>
      </c>
      <c r="K11">
        <f t="shared" si="5"/>
        <v>1980</v>
      </c>
      <c r="L11">
        <f t="shared" si="6"/>
        <v>4752</v>
      </c>
      <c r="M11">
        <f t="shared" si="7"/>
        <v>26928</v>
      </c>
    </row>
    <row r="12" spans="1:16" x14ac:dyDescent="0.25">
      <c r="A12">
        <v>4</v>
      </c>
      <c r="B12" t="str">
        <f>EMPLOYEEDATA!B14</f>
        <v>AYO</v>
      </c>
      <c r="C12">
        <f>IF(AND(EMPLOYEEDATA!I14="BSC"),8,IF(AND(EMPLOYEEDATA!I14="HND"),7,IF(AND(EMPLOYEEDATA!I14="ND"),5,IF(AND(EMPLOYEEDATA!I14="NCE"),4,2))))</f>
        <v>5</v>
      </c>
      <c r="D12">
        <f>PRODUCT(EMPLOYEEDATA!J14,EMPLOYEEDATA!K14)</f>
        <v>30800</v>
      </c>
      <c r="E12">
        <f t="shared" si="0"/>
        <v>1540</v>
      </c>
      <c r="F12">
        <f>IF(AND(EMPLOYEEDATA!F14="OFF QUARTERS"),0.06*D12,0)</f>
        <v>1848</v>
      </c>
      <c r="G12">
        <f t="shared" si="1"/>
        <v>2772</v>
      </c>
      <c r="H12">
        <f t="shared" si="2"/>
        <v>36960</v>
      </c>
      <c r="I12">
        <f t="shared" si="3"/>
        <v>2310</v>
      </c>
      <c r="J12">
        <f t="shared" si="4"/>
        <v>924</v>
      </c>
      <c r="K12">
        <f t="shared" si="5"/>
        <v>2310</v>
      </c>
      <c r="L12">
        <f t="shared" si="6"/>
        <v>5544</v>
      </c>
      <c r="M12">
        <f t="shared" si="7"/>
        <v>31416</v>
      </c>
    </row>
    <row r="13" spans="1:16" x14ac:dyDescent="0.25">
      <c r="A13">
        <v>5</v>
      </c>
      <c r="B13" t="str">
        <f>EMPLOYEEDATA!B15</f>
        <v>OLA</v>
      </c>
      <c r="C13">
        <f>IF(AND(EMPLOYEEDATA!I15="BSC"),8,IF(AND(EMPLOYEEDATA!I15="HND"),7,IF(AND(EMPLOYEEDATA!I15="ND"),5,IF(AND(EMPLOYEEDATA!I15="NCE"),4,2))))</f>
        <v>8</v>
      </c>
      <c r="D13">
        <f>PRODUCT(EMPLOYEEDATA!J15,EMPLOYEEDATA!K15)</f>
        <v>48000</v>
      </c>
      <c r="E13">
        <f t="shared" si="0"/>
        <v>2400</v>
      </c>
      <c r="F13">
        <f>IF(AND(EMPLOYEEDATA!F15="OFF QUARTERS"),0.06*D13,0)</f>
        <v>0</v>
      </c>
      <c r="G13">
        <f t="shared" si="1"/>
        <v>4320</v>
      </c>
      <c r="H13">
        <f t="shared" si="2"/>
        <v>54720</v>
      </c>
      <c r="I13">
        <f t="shared" si="3"/>
        <v>3600</v>
      </c>
      <c r="J13">
        <f t="shared" si="4"/>
        <v>1440</v>
      </c>
      <c r="K13">
        <f t="shared" si="5"/>
        <v>3600</v>
      </c>
      <c r="L13">
        <f t="shared" si="6"/>
        <v>8640</v>
      </c>
      <c r="M13">
        <f t="shared" si="7"/>
        <v>46080</v>
      </c>
    </row>
    <row r="14" spans="1:16" x14ac:dyDescent="0.25">
      <c r="A14">
        <v>6</v>
      </c>
      <c r="B14" t="str">
        <f>EMPLOYEEDATA!B16</f>
        <v>PONMILE</v>
      </c>
      <c r="C14">
        <f>IF(AND(EMPLOYEEDATA!I16="BSC"),8,IF(AND(EMPLOYEEDATA!I16="HND"),7,IF(AND(EMPLOYEEDATA!I16="ND"),5,IF(AND(EMPLOYEEDATA!I16="NCE"),4,2))))</f>
        <v>8</v>
      </c>
      <c r="D14">
        <f>PRODUCT(EMPLOYEEDATA!J16,EMPLOYEEDATA!K16)</f>
        <v>48000</v>
      </c>
      <c r="E14">
        <f t="shared" si="0"/>
        <v>2400</v>
      </c>
      <c r="F14">
        <f>IF(AND(EMPLOYEEDATA!F16="OFF QUARTERS"),0.06*D14,0)</f>
        <v>0</v>
      </c>
      <c r="G14">
        <f t="shared" si="1"/>
        <v>4320</v>
      </c>
      <c r="H14">
        <f t="shared" si="2"/>
        <v>54720</v>
      </c>
      <c r="I14">
        <f t="shared" si="3"/>
        <v>3600</v>
      </c>
      <c r="J14">
        <f t="shared" si="4"/>
        <v>1440</v>
      </c>
      <c r="K14">
        <f t="shared" si="5"/>
        <v>3600</v>
      </c>
      <c r="L14">
        <f t="shared" si="6"/>
        <v>8640</v>
      </c>
      <c r="M14">
        <f t="shared" si="7"/>
        <v>46080</v>
      </c>
    </row>
    <row r="15" spans="1:16" x14ac:dyDescent="0.25">
      <c r="A15">
        <v>7</v>
      </c>
      <c r="B15" t="str">
        <f>EMPLOYEEDATA!B17</f>
        <v>DEVINE</v>
      </c>
      <c r="C15">
        <f>IF(AND(EMPLOYEEDATA!I17="BSC"),8,IF(AND(EMPLOYEEDATA!I17="HND"),7,IF(AND(EMPLOYEEDATA!I17="ND"),5,IF(AND(EMPLOYEEDATA!I17="NCE"),4,2))))</f>
        <v>8</v>
      </c>
      <c r="D15">
        <f>PRODUCT(EMPLOYEEDATA!J17,EMPLOYEEDATA!K17)</f>
        <v>48000</v>
      </c>
      <c r="E15">
        <f t="shared" si="0"/>
        <v>2400</v>
      </c>
      <c r="F15">
        <f>IF(AND(EMPLOYEEDATA!F17="OFF QUARTERS"),0.06*D15,0)</f>
        <v>0</v>
      </c>
      <c r="G15">
        <f t="shared" si="1"/>
        <v>4320</v>
      </c>
      <c r="H15">
        <f t="shared" si="2"/>
        <v>54720</v>
      </c>
      <c r="I15">
        <f t="shared" si="3"/>
        <v>3600</v>
      </c>
      <c r="J15">
        <f t="shared" si="4"/>
        <v>1440</v>
      </c>
      <c r="K15">
        <f t="shared" si="5"/>
        <v>3600</v>
      </c>
      <c r="L15">
        <f t="shared" si="6"/>
        <v>8640</v>
      </c>
      <c r="M15">
        <f t="shared" si="7"/>
        <v>46080</v>
      </c>
    </row>
    <row r="16" spans="1:16" x14ac:dyDescent="0.25">
      <c r="A16">
        <v>8</v>
      </c>
      <c r="B16" t="str">
        <f>EMPLOYEEDATA!B18</f>
        <v>IMISI</v>
      </c>
      <c r="C16">
        <f>IF(AND(EMPLOYEEDATA!I18="BSC"),8,IF(AND(EMPLOYEEDATA!I18="HND"),7,IF(AND(EMPLOYEEDATA!I18="ND"),5,IF(AND(EMPLOYEEDATA!I18="NCE"),4,2))))</f>
        <v>7</v>
      </c>
      <c r="D16">
        <f>PRODUCT(EMPLOYEEDATA!J18,EMPLOYEEDATA!K18)</f>
        <v>45000</v>
      </c>
      <c r="E16">
        <f t="shared" si="0"/>
        <v>2250</v>
      </c>
      <c r="F16">
        <f>IF(AND(EMPLOYEEDATA!F18="OFF QUARTERS"),0.06*D16,0)</f>
        <v>0</v>
      </c>
      <c r="G16">
        <f t="shared" si="1"/>
        <v>4050</v>
      </c>
      <c r="H16">
        <f t="shared" si="2"/>
        <v>51300</v>
      </c>
      <c r="I16">
        <f t="shared" si="3"/>
        <v>3375</v>
      </c>
      <c r="J16">
        <f t="shared" si="4"/>
        <v>1350</v>
      </c>
      <c r="K16">
        <f t="shared" si="5"/>
        <v>3375</v>
      </c>
      <c r="L16">
        <f t="shared" si="6"/>
        <v>8100</v>
      </c>
      <c r="M16">
        <f t="shared" si="7"/>
        <v>43200</v>
      </c>
    </row>
    <row r="17" spans="1:13" x14ac:dyDescent="0.25">
      <c r="A17">
        <v>9</v>
      </c>
      <c r="B17" t="str">
        <f>EMPLOYEEDATA!B19</f>
        <v>JAMES</v>
      </c>
      <c r="C17">
        <f>IF(AND(EMPLOYEEDATA!I19="BSC"),8,IF(AND(EMPLOYEEDATA!I19="HND"),7,IF(AND(EMPLOYEEDATA!I19="ND"),5,IF(AND(EMPLOYEEDATA!I19="NCE"),4,2))))</f>
        <v>4</v>
      </c>
      <c r="D17">
        <f>PRODUCT(EMPLOYEEDATA!J19,EMPLOYEEDATA!K19)</f>
        <v>26450</v>
      </c>
      <c r="E17">
        <f t="shared" si="0"/>
        <v>1322.5</v>
      </c>
      <c r="F17">
        <f>IF(AND(EMPLOYEEDATA!F19="OFF QUARTERS"),0.06*D17,0)</f>
        <v>1587</v>
      </c>
      <c r="G17">
        <f t="shared" si="1"/>
        <v>2380.5</v>
      </c>
      <c r="H17">
        <f t="shared" si="2"/>
        <v>31740</v>
      </c>
      <c r="I17">
        <f t="shared" si="3"/>
        <v>1983.75</v>
      </c>
      <c r="J17">
        <f t="shared" si="4"/>
        <v>793.5</v>
      </c>
      <c r="K17">
        <f t="shared" si="5"/>
        <v>1983.75</v>
      </c>
      <c r="L17">
        <f t="shared" si="6"/>
        <v>4761</v>
      </c>
      <c r="M17">
        <f t="shared" si="7"/>
        <v>26979</v>
      </c>
    </row>
    <row r="18" spans="1:13" x14ac:dyDescent="0.25">
      <c r="A18">
        <v>10</v>
      </c>
      <c r="B18" t="str">
        <f>EMPLOYEEDATA!B20</f>
        <v>KENNY</v>
      </c>
      <c r="C18">
        <f>IF(AND(EMPLOYEEDATA!I20="BSC"),8,IF(AND(EMPLOYEEDATA!I20="HND"),7,IF(AND(EMPLOYEEDATA!I20="ND"),5,IF(AND(EMPLOYEEDATA!I20="NCE"),4,2))))</f>
        <v>2</v>
      </c>
      <c r="D18">
        <f>PRODUCT(EMPLOYEEDATA!J20,EMPLOYEEDATA!K20)</f>
        <v>26400</v>
      </c>
      <c r="E18">
        <f t="shared" si="0"/>
        <v>1320</v>
      </c>
      <c r="F18">
        <f>IF(AND(EMPLOYEEDATA!F20="OFF QUARTERS"),0.06*D18,0)</f>
        <v>1584</v>
      </c>
      <c r="G18">
        <f t="shared" si="1"/>
        <v>2376</v>
      </c>
      <c r="H18">
        <f t="shared" si="2"/>
        <v>31680</v>
      </c>
      <c r="I18">
        <f t="shared" si="3"/>
        <v>1980</v>
      </c>
      <c r="J18">
        <f t="shared" si="4"/>
        <v>792</v>
      </c>
      <c r="K18">
        <f t="shared" si="5"/>
        <v>1980</v>
      </c>
      <c r="L18">
        <f t="shared" si="6"/>
        <v>4752</v>
      </c>
      <c r="M18">
        <f t="shared" si="7"/>
        <v>26928</v>
      </c>
    </row>
    <row r="19" spans="1:13" x14ac:dyDescent="0.25">
      <c r="A19">
        <v>11</v>
      </c>
      <c r="B19" t="str">
        <f>EMPLOYEEDATA!B21</f>
        <v>FAITH</v>
      </c>
      <c r="C19">
        <f>IF(AND(EMPLOYEEDATA!I21="BSC"),8,IF(AND(EMPLOYEEDATA!I21="HND"),7,IF(AND(EMPLOYEEDATA!I21="ND"),5,IF(AND(EMPLOYEEDATA!I21="NCE"),4,2))))</f>
        <v>8</v>
      </c>
      <c r="D19">
        <f>PRODUCT(EMPLOYEEDATA!J21,EMPLOYEEDATA!K21)</f>
        <v>48000</v>
      </c>
      <c r="E19">
        <f t="shared" si="0"/>
        <v>2400</v>
      </c>
      <c r="F19">
        <f>IF(AND(EMPLOYEEDATA!F21="OFF QUARTERS"),0.06*D19,0)</f>
        <v>0</v>
      </c>
      <c r="G19">
        <f t="shared" si="1"/>
        <v>4320</v>
      </c>
      <c r="H19">
        <f t="shared" si="2"/>
        <v>54720</v>
      </c>
      <c r="I19">
        <f t="shared" si="3"/>
        <v>3600</v>
      </c>
      <c r="J19">
        <f t="shared" si="4"/>
        <v>1440</v>
      </c>
      <c r="K19">
        <f t="shared" si="5"/>
        <v>3600</v>
      </c>
      <c r="L19">
        <f t="shared" si="6"/>
        <v>8640</v>
      </c>
      <c r="M19">
        <f t="shared" si="7"/>
        <v>46080</v>
      </c>
    </row>
    <row r="20" spans="1:13" x14ac:dyDescent="0.25">
      <c r="A20">
        <v>12</v>
      </c>
      <c r="B20" t="str">
        <f>EMPLOYEEDATA!B22</f>
        <v>SEGUN</v>
      </c>
      <c r="C20">
        <f>IF(AND(EMPLOYEEDATA!I22="BSC"),8,IF(AND(EMPLOYEEDATA!I22="HND"),7,IF(AND(EMPLOYEEDATA!I22="ND"),5,IF(AND(EMPLOYEEDATA!I22="NCE"),4,2))))</f>
        <v>5</v>
      </c>
      <c r="D20">
        <f>PRODUCT(EMPLOYEEDATA!J22,EMPLOYEEDATA!K22)</f>
        <v>30800</v>
      </c>
      <c r="E20">
        <f t="shared" si="0"/>
        <v>1540</v>
      </c>
      <c r="F20">
        <f>IF(AND(EMPLOYEEDATA!F22="OFF QUARTERS"),0.06*D20,0)</f>
        <v>1848</v>
      </c>
      <c r="G20">
        <f t="shared" si="1"/>
        <v>2772</v>
      </c>
      <c r="H20">
        <f t="shared" si="2"/>
        <v>36960</v>
      </c>
      <c r="I20">
        <f t="shared" si="3"/>
        <v>2310</v>
      </c>
      <c r="J20">
        <f t="shared" si="4"/>
        <v>924</v>
      </c>
      <c r="K20">
        <f t="shared" si="5"/>
        <v>2310</v>
      </c>
      <c r="L20">
        <f t="shared" si="6"/>
        <v>5544</v>
      </c>
      <c r="M20">
        <f t="shared" si="7"/>
        <v>31416</v>
      </c>
    </row>
    <row r="21" spans="1:13" x14ac:dyDescent="0.25">
      <c r="A21">
        <v>13</v>
      </c>
      <c r="B21" t="str">
        <f>EMPLOYEEDATA!B23</f>
        <v>TAIWO</v>
      </c>
      <c r="C21">
        <f>IF(AND(EMPLOYEEDATA!I23="BSC"),8,IF(AND(EMPLOYEEDATA!I23="HND"),7,IF(AND(EMPLOYEEDATA!I23="ND"),5,IF(AND(EMPLOYEEDATA!I23="NCE"),4,2))))</f>
        <v>8</v>
      </c>
      <c r="D21">
        <f>PRODUCT(EMPLOYEEDATA!J23,EMPLOYEEDATA!K23)</f>
        <v>48000</v>
      </c>
      <c r="E21">
        <f t="shared" si="0"/>
        <v>2400</v>
      </c>
      <c r="F21">
        <f>IF(AND(EMPLOYEEDATA!F23="OFF QUARTERS"),0.06*D21,0)</f>
        <v>2880</v>
      </c>
      <c r="G21">
        <f t="shared" si="1"/>
        <v>4320</v>
      </c>
      <c r="H21">
        <f t="shared" si="2"/>
        <v>57600</v>
      </c>
      <c r="I21">
        <f t="shared" si="3"/>
        <v>3600</v>
      </c>
      <c r="J21">
        <f t="shared" si="4"/>
        <v>1440</v>
      </c>
      <c r="K21">
        <f t="shared" si="5"/>
        <v>3600</v>
      </c>
      <c r="L21">
        <f t="shared" si="6"/>
        <v>8640</v>
      </c>
      <c r="M21">
        <f t="shared" si="7"/>
        <v>48960</v>
      </c>
    </row>
    <row r="22" spans="1:13" x14ac:dyDescent="0.25">
      <c r="A22">
        <v>14</v>
      </c>
      <c r="B22" t="str">
        <f>EMPLOYEEDATA!B24</f>
        <v>JUMOKE</v>
      </c>
      <c r="C22">
        <f>IF(AND(EMPLOYEEDATA!I24="BSC"),8,IF(AND(EMPLOYEEDATA!I24="HND"),7,IF(AND(EMPLOYEEDATA!I24="ND"),5,IF(AND(EMPLOYEEDATA!I24="NCE"),4,2))))</f>
        <v>2</v>
      </c>
      <c r="D22">
        <f>PRODUCT(EMPLOYEEDATA!J24,EMPLOYEEDATA!K24)</f>
        <v>26400</v>
      </c>
      <c r="E22">
        <f t="shared" si="0"/>
        <v>1320</v>
      </c>
      <c r="F22">
        <f>IF(AND(EMPLOYEEDATA!F24="OFF QUARTERS"),0.06*D22,0)</f>
        <v>1584</v>
      </c>
      <c r="G22">
        <f t="shared" si="1"/>
        <v>2376</v>
      </c>
      <c r="H22">
        <f t="shared" si="2"/>
        <v>31680</v>
      </c>
      <c r="I22">
        <f t="shared" si="3"/>
        <v>1980</v>
      </c>
      <c r="J22">
        <f t="shared" si="4"/>
        <v>792</v>
      </c>
      <c r="K22">
        <f t="shared" si="5"/>
        <v>1980</v>
      </c>
      <c r="L22">
        <f t="shared" si="6"/>
        <v>4752</v>
      </c>
      <c r="M22">
        <f t="shared" si="7"/>
        <v>26928</v>
      </c>
    </row>
    <row r="23" spans="1:13" x14ac:dyDescent="0.25">
      <c r="A23">
        <v>15</v>
      </c>
      <c r="B23" t="str">
        <f>EMPLOYEEDATA!B25</f>
        <v>ISAAC</v>
      </c>
      <c r="C23">
        <f>IF(AND(EMPLOYEEDATA!I25="BSC"),8,IF(AND(EMPLOYEEDATA!I25="HND"),7,IF(AND(EMPLOYEEDATA!I25="ND"),5,IF(AND(EMPLOYEEDATA!I25="NCE"),4,2))))</f>
        <v>8</v>
      </c>
      <c r="D23">
        <f>PRODUCT(EMPLOYEEDATA!J25,EMPLOYEEDATA!K25)</f>
        <v>48000</v>
      </c>
      <c r="E23">
        <f t="shared" si="0"/>
        <v>2400</v>
      </c>
      <c r="F23">
        <f>IF(AND(EMPLOYEEDATA!F25="OFF QUARTERS"),0.06*D23,0)</f>
        <v>2880</v>
      </c>
      <c r="G23">
        <f t="shared" si="1"/>
        <v>4320</v>
      </c>
      <c r="H23">
        <f t="shared" si="2"/>
        <v>57600</v>
      </c>
      <c r="I23">
        <f t="shared" si="3"/>
        <v>3600</v>
      </c>
      <c r="J23">
        <f t="shared" si="4"/>
        <v>1440</v>
      </c>
      <c r="K23">
        <f t="shared" si="5"/>
        <v>3600</v>
      </c>
      <c r="L23">
        <f t="shared" si="6"/>
        <v>8640</v>
      </c>
      <c r="M23">
        <f t="shared" si="7"/>
        <v>48960</v>
      </c>
    </row>
    <row r="24" spans="1:13" x14ac:dyDescent="0.25">
      <c r="A24">
        <v>16</v>
      </c>
      <c r="B24" t="str">
        <f>EMPLOYEEDATA!B26</f>
        <v>ISREAL</v>
      </c>
      <c r="C24">
        <f>IF(AND(EMPLOYEEDATA!I26="BSC"),8,IF(AND(EMPLOYEEDATA!I26="HND"),7,IF(AND(EMPLOYEEDATA!I26="ND"),5,IF(AND(EMPLOYEEDATA!I26="NCE"),4,2))))</f>
        <v>8</v>
      </c>
      <c r="D24">
        <f>PRODUCT(EMPLOYEEDATA!J26,EMPLOYEEDATA!K26)</f>
        <v>48000</v>
      </c>
      <c r="E24">
        <f t="shared" si="0"/>
        <v>2400</v>
      </c>
      <c r="F24">
        <f>IF(AND(EMPLOYEEDATA!F26="OFF QUARTERS"),0.06*D24,0)</f>
        <v>2880</v>
      </c>
      <c r="G24">
        <f t="shared" si="1"/>
        <v>4320</v>
      </c>
      <c r="H24">
        <f t="shared" si="2"/>
        <v>57600</v>
      </c>
      <c r="I24">
        <f t="shared" si="3"/>
        <v>3600</v>
      </c>
      <c r="J24">
        <f t="shared" si="4"/>
        <v>1440</v>
      </c>
      <c r="K24">
        <f t="shared" si="5"/>
        <v>3600</v>
      </c>
      <c r="L24">
        <f t="shared" si="6"/>
        <v>8640</v>
      </c>
      <c r="M24">
        <f t="shared" si="7"/>
        <v>48960</v>
      </c>
    </row>
    <row r="25" spans="1:13" x14ac:dyDescent="0.25">
      <c r="A25">
        <v>17</v>
      </c>
      <c r="B25" t="str">
        <f>EMPLOYEEDATA!B27</f>
        <v>PEACE</v>
      </c>
      <c r="C25">
        <f>IF(AND(EMPLOYEEDATA!I27="BSC"),8,IF(AND(EMPLOYEEDATA!I27="HND"),7,IF(AND(EMPLOYEEDATA!I27="ND"),5,IF(AND(EMPLOYEEDATA!I27="NCE"),4,2))))</f>
        <v>7</v>
      </c>
      <c r="D25">
        <f>PRODUCT(EMPLOYEEDATA!J27,EMPLOYEEDATA!K27)</f>
        <v>45000</v>
      </c>
      <c r="E25">
        <f t="shared" si="0"/>
        <v>2250</v>
      </c>
      <c r="F25">
        <f>IF(AND(EMPLOYEEDATA!F27="OFF QUARTERS"),0.06*D25,0)</f>
        <v>0</v>
      </c>
      <c r="G25">
        <f t="shared" si="1"/>
        <v>4050</v>
      </c>
      <c r="H25">
        <f t="shared" si="2"/>
        <v>51300</v>
      </c>
      <c r="I25">
        <f t="shared" si="3"/>
        <v>3375</v>
      </c>
      <c r="J25">
        <f t="shared" si="4"/>
        <v>1350</v>
      </c>
      <c r="K25">
        <f t="shared" si="5"/>
        <v>3375</v>
      </c>
      <c r="L25">
        <f t="shared" si="6"/>
        <v>8100</v>
      </c>
      <c r="M25">
        <f t="shared" si="7"/>
        <v>43200</v>
      </c>
    </row>
    <row r="26" spans="1:13" x14ac:dyDescent="0.25">
      <c r="A26">
        <v>18</v>
      </c>
      <c r="B26" t="str">
        <f>EMPLOYEEDATA!B28</f>
        <v>ROSE</v>
      </c>
      <c r="C26">
        <f>IF(AND(EMPLOYEEDATA!I28="BSC"),8,IF(AND(EMPLOYEEDATA!I28="HND"),7,IF(AND(EMPLOYEEDATA!I28="ND"),5,IF(AND(EMPLOYEEDATA!I28="NCE"),4,2))))</f>
        <v>2</v>
      </c>
      <c r="D26">
        <f>PRODUCT(EMPLOYEEDATA!J28,EMPLOYEEDATA!K28)</f>
        <v>26400</v>
      </c>
      <c r="E26">
        <f t="shared" si="0"/>
        <v>1320</v>
      </c>
      <c r="F26">
        <f>IF(AND(EMPLOYEEDATA!F28="OFF QUARTERS"),0.06*D26,0)</f>
        <v>1584</v>
      </c>
      <c r="G26">
        <f t="shared" si="1"/>
        <v>2376</v>
      </c>
      <c r="H26">
        <f t="shared" si="2"/>
        <v>31680</v>
      </c>
      <c r="I26">
        <f t="shared" si="3"/>
        <v>1980</v>
      </c>
      <c r="J26">
        <f t="shared" si="4"/>
        <v>792</v>
      </c>
      <c r="K26">
        <f t="shared" si="5"/>
        <v>1980</v>
      </c>
      <c r="L26">
        <f t="shared" si="6"/>
        <v>4752</v>
      </c>
      <c r="M26">
        <f t="shared" si="7"/>
        <v>26928</v>
      </c>
    </row>
    <row r="27" spans="1:13" x14ac:dyDescent="0.25">
      <c r="A27">
        <v>19</v>
      </c>
      <c r="B27" t="str">
        <f>EMPLOYEEDATA!B29</f>
        <v>DELIGHT</v>
      </c>
      <c r="C27">
        <f>IF(AND(EMPLOYEEDATA!I29="BSC"),8,IF(AND(EMPLOYEEDATA!I29="HND"),7,IF(AND(EMPLOYEEDATA!I29="ND"),5,IF(AND(EMPLOYEEDATA!I29="NCE"),4,2))))</f>
        <v>8</v>
      </c>
      <c r="D27">
        <f>PRODUCT(EMPLOYEEDATA!J29,EMPLOYEEDATA!K29)</f>
        <v>48000</v>
      </c>
      <c r="E27">
        <f t="shared" si="0"/>
        <v>2400</v>
      </c>
      <c r="F27">
        <f>IF(AND(EMPLOYEEDATA!F29="OFF QUARTERS"),0.06*D27,0)</f>
        <v>0</v>
      </c>
      <c r="G27">
        <f t="shared" si="1"/>
        <v>4320</v>
      </c>
      <c r="H27">
        <f t="shared" si="2"/>
        <v>54720</v>
      </c>
      <c r="I27">
        <f t="shared" si="3"/>
        <v>3600</v>
      </c>
      <c r="J27">
        <f t="shared" si="4"/>
        <v>1440</v>
      </c>
      <c r="K27">
        <f t="shared" si="5"/>
        <v>3600</v>
      </c>
      <c r="L27">
        <f t="shared" si="6"/>
        <v>8640</v>
      </c>
      <c r="M27">
        <f t="shared" si="7"/>
        <v>46080</v>
      </c>
    </row>
    <row r="28" spans="1:13" x14ac:dyDescent="0.25">
      <c r="A28">
        <v>20</v>
      </c>
      <c r="B28" t="str">
        <f>EMPLOYEEDATA!B30</f>
        <v>KELVIN</v>
      </c>
      <c r="C28">
        <f>IF(AND(EMPLOYEEDATA!I30="BSC"),8,IF(AND(EMPLOYEEDATA!I30="HND"),7,IF(AND(EMPLOYEEDATA!I30="ND"),5,IF(AND(EMPLOYEEDATA!I30="NCE"),4,2))))</f>
        <v>8</v>
      </c>
      <c r="D28">
        <f>PRODUCT(EMPLOYEEDATA!J30,EMPLOYEEDATA!K30)</f>
        <v>48000</v>
      </c>
      <c r="E28">
        <f t="shared" si="0"/>
        <v>2400</v>
      </c>
      <c r="F28">
        <f>IF(AND(EMPLOYEEDATA!F30="OFF QUARTERS"),0.06*D28,0)</f>
        <v>0</v>
      </c>
      <c r="G28">
        <f t="shared" si="1"/>
        <v>4320</v>
      </c>
      <c r="H28">
        <f t="shared" si="2"/>
        <v>54720</v>
      </c>
      <c r="I28">
        <f t="shared" si="3"/>
        <v>3600</v>
      </c>
      <c r="J28">
        <f t="shared" si="4"/>
        <v>1440</v>
      </c>
      <c r="K28">
        <f t="shared" si="5"/>
        <v>3600</v>
      </c>
      <c r="L28">
        <f t="shared" si="6"/>
        <v>8640</v>
      </c>
      <c r="M28">
        <f t="shared" si="7"/>
        <v>46080</v>
      </c>
    </row>
    <row r="29" spans="1:13" x14ac:dyDescent="0.25">
      <c r="A29">
        <v>21</v>
      </c>
      <c r="B29" t="str">
        <f>EMPLOYEEDATA!B31</f>
        <v>JEDIDAH</v>
      </c>
      <c r="C29">
        <f>IF(AND(EMPLOYEEDATA!I31="BSC"),8,IF(AND(EMPLOYEEDATA!I31="HND"),7,IF(AND(EMPLOYEEDATA!I31="ND"),5,IF(AND(EMPLOYEEDATA!I31="NCE"),4,2))))</f>
        <v>8</v>
      </c>
      <c r="D29">
        <f>PRODUCT(EMPLOYEEDATA!J31,EMPLOYEEDATA!K31)</f>
        <v>48000</v>
      </c>
      <c r="E29">
        <f t="shared" si="0"/>
        <v>2400</v>
      </c>
      <c r="F29">
        <f>IF(AND(EMPLOYEEDATA!F31="OFF QUARTERS"),0.06*D29,0)</f>
        <v>0</v>
      </c>
      <c r="G29">
        <f t="shared" si="1"/>
        <v>4320</v>
      </c>
      <c r="H29">
        <f t="shared" si="2"/>
        <v>54720</v>
      </c>
      <c r="I29">
        <f t="shared" si="3"/>
        <v>3600</v>
      </c>
      <c r="J29">
        <f t="shared" si="4"/>
        <v>1440</v>
      </c>
      <c r="K29">
        <f t="shared" si="5"/>
        <v>3600</v>
      </c>
      <c r="L29">
        <f t="shared" si="6"/>
        <v>8640</v>
      </c>
      <c r="M29">
        <f t="shared" si="7"/>
        <v>46080</v>
      </c>
    </row>
    <row r="30" spans="1:13" x14ac:dyDescent="0.25">
      <c r="A30">
        <v>22</v>
      </c>
      <c r="B30" t="str">
        <f>EMPLOYEEDATA!B32</f>
        <v>DANIEL</v>
      </c>
      <c r="C30">
        <f>IF(AND(EMPLOYEEDATA!I32="BSC"),8,IF(AND(EMPLOYEEDATA!I32="HND"),7,IF(AND(EMPLOYEEDATA!I32="ND"),5,IF(AND(EMPLOYEEDATA!I32="NCE"),4,2))))</f>
        <v>8</v>
      </c>
      <c r="D30">
        <f>PRODUCT(EMPLOYEEDATA!J32,EMPLOYEEDATA!K32)</f>
        <v>48000</v>
      </c>
      <c r="E30">
        <f t="shared" si="0"/>
        <v>2400</v>
      </c>
      <c r="F30">
        <f>IF(AND(EMPLOYEEDATA!F32="OFF QUARTERS"),0.06*D30,0)</f>
        <v>0</v>
      </c>
      <c r="G30">
        <f t="shared" si="1"/>
        <v>4320</v>
      </c>
      <c r="H30">
        <f t="shared" si="2"/>
        <v>54720</v>
      </c>
      <c r="I30">
        <f t="shared" si="3"/>
        <v>3600</v>
      </c>
      <c r="J30">
        <f t="shared" si="4"/>
        <v>1440</v>
      </c>
      <c r="K30">
        <f t="shared" si="5"/>
        <v>3600</v>
      </c>
      <c r="L30">
        <f t="shared" si="6"/>
        <v>8640</v>
      </c>
      <c r="M30">
        <f t="shared" si="7"/>
        <v>46080</v>
      </c>
    </row>
    <row r="31" spans="1:13" x14ac:dyDescent="0.25">
      <c r="A31">
        <v>23</v>
      </c>
      <c r="B31" t="str">
        <f>EMPLOYEEDATA!B33</f>
        <v>MASON</v>
      </c>
      <c r="C31">
        <f>IF(AND(EMPLOYEEDATA!I33="BSC"),8,IF(AND(EMPLOYEEDATA!I33="HND"),7,IF(AND(EMPLOYEEDATA!I33="ND"),5,IF(AND(EMPLOYEEDATA!I33="NCE"),4,2))))</f>
        <v>8</v>
      </c>
      <c r="D31">
        <f>PRODUCT(EMPLOYEEDATA!J33,EMPLOYEEDATA!K33)</f>
        <v>48000</v>
      </c>
      <c r="E31">
        <f t="shared" si="0"/>
        <v>2400</v>
      </c>
      <c r="F31">
        <f>IF(AND(EMPLOYEEDATA!F33="OFF QUARTERS"),0.06*D31,0)</f>
        <v>0</v>
      </c>
      <c r="G31">
        <f t="shared" si="1"/>
        <v>4320</v>
      </c>
      <c r="H31">
        <f t="shared" si="2"/>
        <v>54720</v>
      </c>
      <c r="I31">
        <f t="shared" si="3"/>
        <v>3600</v>
      </c>
      <c r="J31">
        <f t="shared" si="4"/>
        <v>1440</v>
      </c>
      <c r="K31">
        <f t="shared" si="5"/>
        <v>3600</v>
      </c>
      <c r="L31">
        <f t="shared" si="6"/>
        <v>8640</v>
      </c>
      <c r="M31">
        <f t="shared" si="7"/>
        <v>46080</v>
      </c>
    </row>
    <row r="32" spans="1:13" x14ac:dyDescent="0.25">
      <c r="A32">
        <v>24</v>
      </c>
      <c r="B32" t="str">
        <f>EMPLOYEEDATA!B34</f>
        <v>TOMINWA</v>
      </c>
      <c r="C32">
        <f>IF(AND(EMPLOYEEDATA!I34="BSC"),8,IF(AND(EMPLOYEEDATA!I34="HND"),7,IF(AND(EMPLOYEEDATA!I34="ND"),5,IF(AND(EMPLOYEEDATA!I34="NCE"),4,2))))</f>
        <v>8</v>
      </c>
      <c r="D32">
        <f>PRODUCT(EMPLOYEEDATA!J34,EMPLOYEEDATA!K34)</f>
        <v>48000</v>
      </c>
      <c r="E32">
        <f t="shared" si="0"/>
        <v>2400</v>
      </c>
      <c r="F32">
        <f>IF(AND(EMPLOYEEDATA!F34="OFF QUARTERS"),0.06*D32,0)</f>
        <v>0</v>
      </c>
      <c r="G32">
        <f t="shared" si="1"/>
        <v>4320</v>
      </c>
      <c r="H32">
        <f t="shared" si="2"/>
        <v>54720</v>
      </c>
      <c r="I32">
        <f t="shared" si="3"/>
        <v>3600</v>
      </c>
      <c r="J32">
        <f t="shared" si="4"/>
        <v>1440</v>
      </c>
      <c r="K32">
        <f t="shared" si="5"/>
        <v>3600</v>
      </c>
      <c r="L32">
        <f t="shared" si="6"/>
        <v>8640</v>
      </c>
      <c r="M32">
        <f t="shared" si="7"/>
        <v>46080</v>
      </c>
    </row>
    <row r="33" spans="1:13" x14ac:dyDescent="0.25">
      <c r="A33">
        <v>25</v>
      </c>
      <c r="B33" t="str">
        <f>EMPLOYEEDATA!B35</f>
        <v>GIFT</v>
      </c>
      <c r="C33">
        <f>IF(AND(EMPLOYEEDATA!I35="BSC"),8,IF(AND(EMPLOYEEDATA!I35="HND"),7,IF(AND(EMPLOYEEDATA!I35="ND"),5,IF(AND(EMPLOYEEDATA!I35="NCE"),4,2))))</f>
        <v>8</v>
      </c>
      <c r="D33">
        <f>PRODUCT(EMPLOYEEDATA!J35,EMPLOYEEDATA!K35)</f>
        <v>48000</v>
      </c>
      <c r="E33">
        <f t="shared" si="0"/>
        <v>2400</v>
      </c>
      <c r="F33">
        <f>IF(AND(EMPLOYEEDATA!F35="OFF QUARTERS"),0.06*D33,0)</f>
        <v>0</v>
      </c>
      <c r="G33">
        <f t="shared" si="1"/>
        <v>4320</v>
      </c>
      <c r="H33">
        <f t="shared" si="2"/>
        <v>54720</v>
      </c>
      <c r="I33">
        <f t="shared" si="3"/>
        <v>3600</v>
      </c>
      <c r="J33">
        <f t="shared" si="4"/>
        <v>1440</v>
      </c>
      <c r="K33">
        <f t="shared" si="5"/>
        <v>3600</v>
      </c>
      <c r="L33">
        <f t="shared" si="6"/>
        <v>8640</v>
      </c>
      <c r="M33">
        <f t="shared" si="7"/>
        <v>46080</v>
      </c>
    </row>
    <row r="34" spans="1:13" x14ac:dyDescent="0.25">
      <c r="A34">
        <v>26</v>
      </c>
      <c r="B34" t="str">
        <f>EMPLOYEEDATA!B36</f>
        <v>FAUSAT</v>
      </c>
      <c r="C34">
        <f>IF(AND(EMPLOYEEDATA!I36="BSC"),8,IF(AND(EMPLOYEEDATA!I36="HND"),7,IF(AND(EMPLOYEEDATA!I36="ND"),5,IF(AND(EMPLOYEEDATA!I36="NCE"),4,2))))</f>
        <v>8</v>
      </c>
      <c r="D34">
        <f>PRODUCT(EMPLOYEEDATA!J36,EMPLOYEEDATA!K36)</f>
        <v>48000</v>
      </c>
      <c r="E34">
        <f t="shared" si="0"/>
        <v>2400</v>
      </c>
      <c r="F34">
        <f>IF(AND(EMPLOYEEDATA!F36="OFF QUARTERS"),0.06*D34,0)</f>
        <v>0</v>
      </c>
      <c r="G34">
        <f t="shared" si="1"/>
        <v>4320</v>
      </c>
      <c r="H34">
        <f t="shared" si="2"/>
        <v>54720</v>
      </c>
      <c r="I34">
        <f t="shared" si="3"/>
        <v>3600</v>
      </c>
      <c r="J34">
        <f t="shared" si="4"/>
        <v>1440</v>
      </c>
      <c r="K34">
        <f t="shared" si="5"/>
        <v>3600</v>
      </c>
      <c r="L34">
        <f t="shared" si="6"/>
        <v>8640</v>
      </c>
      <c r="M34">
        <f t="shared" si="7"/>
        <v>46080</v>
      </c>
    </row>
    <row r="35" spans="1:13" x14ac:dyDescent="0.25">
      <c r="A35">
        <v>27</v>
      </c>
      <c r="B35" t="str">
        <f>EMPLOYEEDATA!B37</f>
        <v>TOYOSI</v>
      </c>
      <c r="C35">
        <f>IF(AND(EMPLOYEEDATA!I37="BSC"),8,IF(AND(EMPLOYEEDATA!I37="HND"),7,IF(AND(EMPLOYEEDATA!I37="ND"),5,IF(AND(EMPLOYEEDATA!I37="NCE"),4,2))))</f>
        <v>8</v>
      </c>
      <c r="D35">
        <f>PRODUCT(EMPLOYEEDATA!J37,EMPLOYEEDATA!K37)</f>
        <v>48000</v>
      </c>
      <c r="E35">
        <f t="shared" si="0"/>
        <v>2400</v>
      </c>
      <c r="F35">
        <f>IF(AND(EMPLOYEEDATA!F37="OFF QUARTERS"),0.06*D35,0)</f>
        <v>0</v>
      </c>
      <c r="G35">
        <f t="shared" si="1"/>
        <v>4320</v>
      </c>
      <c r="H35">
        <f t="shared" si="2"/>
        <v>54720</v>
      </c>
      <c r="I35">
        <f t="shared" si="3"/>
        <v>3600</v>
      </c>
      <c r="J35">
        <f t="shared" si="4"/>
        <v>1440</v>
      </c>
      <c r="K35">
        <f t="shared" si="5"/>
        <v>3600</v>
      </c>
      <c r="L35">
        <f t="shared" si="6"/>
        <v>8640</v>
      </c>
      <c r="M35">
        <f t="shared" si="7"/>
        <v>46080</v>
      </c>
    </row>
    <row r="36" spans="1:13" x14ac:dyDescent="0.25">
      <c r="A36">
        <v>28</v>
      </c>
      <c r="B36" t="str">
        <f>EMPLOYEEDATA!B38</f>
        <v>MOTUN</v>
      </c>
      <c r="C36">
        <f>IF(AND(EMPLOYEEDATA!I38="BSC"),8,IF(AND(EMPLOYEEDATA!I38="HND"),7,IF(AND(EMPLOYEEDATA!I38="ND"),5,IF(AND(EMPLOYEEDATA!I38="NCE"),4,2))))</f>
        <v>8</v>
      </c>
      <c r="D36">
        <f>PRODUCT(EMPLOYEEDATA!J38,EMPLOYEEDATA!K38)</f>
        <v>48000</v>
      </c>
      <c r="E36">
        <f t="shared" si="0"/>
        <v>2400</v>
      </c>
      <c r="F36">
        <f>IF(AND(EMPLOYEEDATA!F38="OFF QUARTERS"),0.06*D36,0)</f>
        <v>0</v>
      </c>
      <c r="G36">
        <f t="shared" si="1"/>
        <v>4320</v>
      </c>
      <c r="H36">
        <f t="shared" si="2"/>
        <v>54720</v>
      </c>
      <c r="I36">
        <f t="shared" si="3"/>
        <v>3600</v>
      </c>
      <c r="J36">
        <f t="shared" si="4"/>
        <v>1440</v>
      </c>
      <c r="K36">
        <f t="shared" si="5"/>
        <v>3600</v>
      </c>
      <c r="L36">
        <f t="shared" si="6"/>
        <v>8640</v>
      </c>
      <c r="M36">
        <f t="shared" si="7"/>
        <v>46080</v>
      </c>
    </row>
    <row r="37" spans="1:13" x14ac:dyDescent="0.25">
      <c r="A37">
        <v>29</v>
      </c>
      <c r="B37" t="str">
        <f>EMPLOYEEDATA!B39</f>
        <v>MOYIN</v>
      </c>
      <c r="C37">
        <f>IF(AND(EMPLOYEEDATA!I39="BSC"),8,IF(AND(EMPLOYEEDATA!I39="HND"),7,IF(AND(EMPLOYEEDATA!I39="ND"),5,IF(AND(EMPLOYEEDATA!I39="NCE"),4,2))))</f>
        <v>8</v>
      </c>
      <c r="D37">
        <f>PRODUCT(EMPLOYEEDATA!J39,EMPLOYEEDATA!K39)</f>
        <v>48000</v>
      </c>
      <c r="E37">
        <f t="shared" si="0"/>
        <v>2400</v>
      </c>
      <c r="F37">
        <f>IF(AND(EMPLOYEEDATA!F39="OFF QUARTERS"),0.06*D37,0)</f>
        <v>0</v>
      </c>
      <c r="G37">
        <f t="shared" si="1"/>
        <v>4320</v>
      </c>
      <c r="H37">
        <f t="shared" si="2"/>
        <v>54720</v>
      </c>
      <c r="I37">
        <f t="shared" si="3"/>
        <v>3600</v>
      </c>
      <c r="J37">
        <f t="shared" si="4"/>
        <v>1440</v>
      </c>
      <c r="K37">
        <f t="shared" si="5"/>
        <v>3600</v>
      </c>
      <c r="L37">
        <f t="shared" si="6"/>
        <v>8640</v>
      </c>
      <c r="M37">
        <f t="shared" si="7"/>
        <v>46080</v>
      </c>
    </row>
    <row r="38" spans="1:13" x14ac:dyDescent="0.25">
      <c r="A38">
        <v>30</v>
      </c>
      <c r="B38" t="str">
        <f>EMPLOYEEDATA!B40</f>
        <v>ODUN</v>
      </c>
      <c r="C38">
        <f>IF(AND(EMPLOYEEDATA!I40="BSC"),8,IF(AND(EMPLOYEEDATA!I40="HND"),7,IF(AND(EMPLOYEEDATA!I40="ND"),5,IF(AND(EMPLOYEEDATA!I40="NCE"),4,2))))</f>
        <v>7</v>
      </c>
      <c r="D38">
        <f>PRODUCT(EMPLOYEEDATA!J40,EMPLOYEEDATA!K40)</f>
        <v>45000</v>
      </c>
      <c r="E38">
        <f t="shared" si="0"/>
        <v>2250</v>
      </c>
      <c r="F38">
        <f>IF(AND(EMPLOYEEDATA!F40="OFF QUARTERS"),0.06*D38,0)</f>
        <v>0</v>
      </c>
      <c r="G38">
        <f t="shared" si="1"/>
        <v>4050</v>
      </c>
      <c r="H38">
        <f t="shared" si="2"/>
        <v>51300</v>
      </c>
      <c r="I38">
        <f t="shared" si="3"/>
        <v>3375</v>
      </c>
      <c r="J38">
        <f t="shared" si="4"/>
        <v>1350</v>
      </c>
      <c r="K38">
        <f t="shared" si="5"/>
        <v>3375</v>
      </c>
      <c r="L38">
        <f t="shared" si="6"/>
        <v>8100</v>
      </c>
      <c r="M38">
        <f t="shared" si="7"/>
        <v>43200</v>
      </c>
    </row>
    <row r="39" spans="1:13" x14ac:dyDescent="0.25">
      <c r="A39">
        <v>31</v>
      </c>
      <c r="B39" t="str">
        <f>EMPLOYEEDATA!B41</f>
        <v>YOYIN</v>
      </c>
      <c r="C39">
        <f>IF(AND(EMPLOYEEDATA!I41="BSC"),8,IF(AND(EMPLOYEEDATA!I41="HND"),7,IF(AND(EMPLOYEEDATA!I41="ND"),5,IF(AND(EMPLOYEEDATA!I41="NCE"),4,2))))</f>
        <v>2</v>
      </c>
      <c r="D39">
        <f>PRODUCT(EMPLOYEEDATA!J41,EMPLOYEEDATA!K41)</f>
        <v>26400</v>
      </c>
      <c r="E39">
        <f t="shared" si="0"/>
        <v>1320</v>
      </c>
      <c r="F39">
        <f>IF(AND(EMPLOYEEDATA!F41="OFF QUARTERS"),0.06*D39,0)</f>
        <v>1584</v>
      </c>
      <c r="G39">
        <f t="shared" si="1"/>
        <v>2376</v>
      </c>
      <c r="H39">
        <f t="shared" si="2"/>
        <v>31680</v>
      </c>
      <c r="I39">
        <f t="shared" si="3"/>
        <v>1980</v>
      </c>
      <c r="J39">
        <f t="shared" si="4"/>
        <v>792</v>
      </c>
      <c r="K39">
        <f t="shared" si="5"/>
        <v>1980</v>
      </c>
      <c r="L39">
        <f t="shared" si="6"/>
        <v>4752</v>
      </c>
      <c r="M39">
        <f t="shared" si="7"/>
        <v>26928</v>
      </c>
    </row>
    <row r="40" spans="1:13" x14ac:dyDescent="0.25">
      <c r="A40">
        <v>32</v>
      </c>
      <c r="B40" t="str">
        <f>EMPLOYEEDATA!B42</f>
        <v>OYIN</v>
      </c>
      <c r="C40">
        <f>IF(AND(EMPLOYEEDATA!I42="BSC"),8,IF(AND(EMPLOYEEDATA!I42="HND"),7,IF(AND(EMPLOYEEDATA!I42="ND"),5,IF(AND(EMPLOYEEDATA!I42="NCE"),4,2))))</f>
        <v>8</v>
      </c>
      <c r="D40">
        <f>PRODUCT(EMPLOYEEDATA!J42,EMPLOYEEDATA!K42)</f>
        <v>48000</v>
      </c>
      <c r="E40">
        <f t="shared" si="0"/>
        <v>2400</v>
      </c>
      <c r="F40">
        <f>IF(AND(EMPLOYEEDATA!F42="OFF QUARTERS"),0.06*D40,0)</f>
        <v>0</v>
      </c>
      <c r="G40">
        <f t="shared" si="1"/>
        <v>4320</v>
      </c>
      <c r="H40">
        <f t="shared" si="2"/>
        <v>54720</v>
      </c>
      <c r="I40">
        <f t="shared" si="3"/>
        <v>3600</v>
      </c>
      <c r="J40">
        <f t="shared" si="4"/>
        <v>1440</v>
      </c>
      <c r="K40">
        <f t="shared" si="5"/>
        <v>3600</v>
      </c>
      <c r="L40">
        <f t="shared" si="6"/>
        <v>8640</v>
      </c>
      <c r="M40">
        <f t="shared" si="7"/>
        <v>46080</v>
      </c>
    </row>
    <row r="41" spans="1:13" x14ac:dyDescent="0.25">
      <c r="A41">
        <v>33</v>
      </c>
      <c r="B41" t="str">
        <f>EMPLOYEEDATA!B43</f>
        <v>SOLA</v>
      </c>
      <c r="C41">
        <f>IF(AND(EMPLOYEEDATA!I43="BSC"),8,IF(AND(EMPLOYEEDATA!I43="HND"),7,IF(AND(EMPLOYEEDATA!I43="ND"),5,IF(AND(EMPLOYEEDATA!I43="NCE"),4,2))))</f>
        <v>8</v>
      </c>
      <c r="D41">
        <f>PRODUCT(EMPLOYEEDATA!J43,EMPLOYEEDATA!K43)</f>
        <v>48000</v>
      </c>
      <c r="E41">
        <f t="shared" si="0"/>
        <v>2400</v>
      </c>
      <c r="F41">
        <f>IF(AND(EMPLOYEEDATA!F43="OFF QUARTERS"),0.06*D41,0)</f>
        <v>0</v>
      </c>
      <c r="G41">
        <f t="shared" si="1"/>
        <v>4320</v>
      </c>
      <c r="H41">
        <f t="shared" si="2"/>
        <v>54720</v>
      </c>
      <c r="I41">
        <f t="shared" si="3"/>
        <v>3600</v>
      </c>
      <c r="J41">
        <f t="shared" si="4"/>
        <v>1440</v>
      </c>
      <c r="K41">
        <f t="shared" si="5"/>
        <v>3600</v>
      </c>
      <c r="L41">
        <f t="shared" si="6"/>
        <v>8640</v>
      </c>
      <c r="M41">
        <f t="shared" si="7"/>
        <v>46080</v>
      </c>
    </row>
    <row r="42" spans="1:13" x14ac:dyDescent="0.25">
      <c r="A42">
        <v>34</v>
      </c>
      <c r="B42" t="str">
        <f>EMPLOYEEDATA!B44</f>
        <v>EMMA</v>
      </c>
      <c r="C42">
        <f>IF(AND(EMPLOYEEDATA!I44="BSC"),8,IF(AND(EMPLOYEEDATA!I44="HND"),7,IF(AND(EMPLOYEEDATA!I44="ND"),5,IF(AND(EMPLOYEEDATA!I44="NCE"),4,2))))</f>
        <v>5</v>
      </c>
      <c r="D42">
        <f>PRODUCT(EMPLOYEEDATA!J44,EMPLOYEEDATA!K44)</f>
        <v>30800</v>
      </c>
      <c r="E42">
        <f t="shared" si="0"/>
        <v>1540</v>
      </c>
      <c r="F42">
        <f>IF(AND(EMPLOYEEDATA!F44="OFF QUARTERS"),0.06*D42,0)</f>
        <v>1848</v>
      </c>
      <c r="G42">
        <f t="shared" si="1"/>
        <v>2772</v>
      </c>
      <c r="H42">
        <f t="shared" si="2"/>
        <v>36960</v>
      </c>
      <c r="I42">
        <f t="shared" si="3"/>
        <v>2310</v>
      </c>
      <c r="J42">
        <f t="shared" si="4"/>
        <v>924</v>
      </c>
      <c r="K42">
        <f t="shared" si="5"/>
        <v>2310</v>
      </c>
      <c r="L42">
        <f t="shared" si="6"/>
        <v>5544</v>
      </c>
      <c r="M42">
        <f t="shared" si="7"/>
        <v>31416</v>
      </c>
    </row>
    <row r="43" spans="1:13" x14ac:dyDescent="0.25">
      <c r="A43">
        <v>35</v>
      </c>
      <c r="B43" t="str">
        <f>EMPLOYEEDATA!B45</f>
        <v>SAM</v>
      </c>
      <c r="C43">
        <f>IF(AND(EMPLOYEEDATA!I45="BSC"),8,IF(AND(EMPLOYEEDATA!I45="HND"),7,IF(AND(EMPLOYEEDATA!I45="ND"),5,IF(AND(EMPLOYEEDATA!I45="NCE"),4,2))))</f>
        <v>4</v>
      </c>
      <c r="D43">
        <f>PRODUCT(EMPLOYEEDATA!J45,EMPLOYEEDATA!K45)</f>
        <v>26450</v>
      </c>
      <c r="E43">
        <f t="shared" si="0"/>
        <v>1322.5</v>
      </c>
      <c r="F43">
        <f>IF(AND(EMPLOYEEDATA!F45="OFF QUARTERS"),0.06*D43,0)</f>
        <v>1587</v>
      </c>
      <c r="G43">
        <f t="shared" si="1"/>
        <v>2380.5</v>
      </c>
      <c r="H43">
        <f t="shared" si="2"/>
        <v>31740</v>
      </c>
      <c r="I43">
        <f t="shared" si="3"/>
        <v>1983.75</v>
      </c>
      <c r="J43">
        <f t="shared" si="4"/>
        <v>793.5</v>
      </c>
      <c r="K43">
        <f t="shared" si="5"/>
        <v>1983.75</v>
      </c>
      <c r="L43">
        <f t="shared" si="6"/>
        <v>4761</v>
      </c>
      <c r="M43">
        <f t="shared" si="7"/>
        <v>26979</v>
      </c>
    </row>
    <row r="44" spans="1:13" x14ac:dyDescent="0.25">
      <c r="A44">
        <v>36</v>
      </c>
      <c r="B44" t="str">
        <f>EMPLOYEEDATA!B46</f>
        <v>SEUN</v>
      </c>
      <c r="C44">
        <f>IF(AND(EMPLOYEEDATA!I46="BSC"),8,IF(AND(EMPLOYEEDATA!I46="HND"),7,IF(AND(EMPLOYEEDATA!I46="ND"),5,IF(AND(EMPLOYEEDATA!I46="NCE"),4,2))))</f>
        <v>4</v>
      </c>
      <c r="D44">
        <f>PRODUCT(EMPLOYEEDATA!J46,EMPLOYEEDATA!K46)</f>
        <v>26450</v>
      </c>
      <c r="E44">
        <f t="shared" si="0"/>
        <v>1322.5</v>
      </c>
      <c r="F44">
        <f>IF(AND(EMPLOYEEDATA!F46="OFF QUARTERS"),0.06*D44,0)</f>
        <v>1587</v>
      </c>
      <c r="G44">
        <f t="shared" si="1"/>
        <v>2380.5</v>
      </c>
      <c r="H44">
        <f t="shared" si="2"/>
        <v>31740</v>
      </c>
      <c r="I44">
        <f t="shared" si="3"/>
        <v>1983.75</v>
      </c>
      <c r="J44">
        <f t="shared" si="4"/>
        <v>793.5</v>
      </c>
      <c r="K44">
        <f t="shared" si="5"/>
        <v>1983.75</v>
      </c>
      <c r="L44">
        <f t="shared" si="6"/>
        <v>4761</v>
      </c>
      <c r="M44">
        <f t="shared" si="7"/>
        <v>26979</v>
      </c>
    </row>
    <row r="45" spans="1:13" x14ac:dyDescent="0.25">
      <c r="A45">
        <v>37</v>
      </c>
      <c r="B45" t="str">
        <f>EMPLOYEEDATA!B47</f>
        <v>JOSEPH</v>
      </c>
      <c r="C45">
        <f>IF(AND(EMPLOYEEDATA!I47="BSC"),8,IF(AND(EMPLOYEEDATA!I47="HND"),7,IF(AND(EMPLOYEEDATA!I47="ND"),5,IF(AND(EMPLOYEEDATA!I47="NCE"),4,2))))</f>
        <v>8</v>
      </c>
      <c r="D45">
        <f>PRODUCT(EMPLOYEEDATA!J47,EMPLOYEEDATA!K47)</f>
        <v>48000</v>
      </c>
      <c r="E45">
        <f t="shared" si="0"/>
        <v>2400</v>
      </c>
      <c r="F45">
        <f>IF(AND(EMPLOYEEDATA!F47="OFF QUARTERS"),0.06*D45,0)</f>
        <v>2880</v>
      </c>
      <c r="G45">
        <f t="shared" si="1"/>
        <v>4320</v>
      </c>
      <c r="H45">
        <f t="shared" si="2"/>
        <v>57600</v>
      </c>
      <c r="I45">
        <f t="shared" si="3"/>
        <v>3600</v>
      </c>
      <c r="J45">
        <f t="shared" si="4"/>
        <v>1440</v>
      </c>
      <c r="K45">
        <f t="shared" si="5"/>
        <v>3600</v>
      </c>
      <c r="L45">
        <f t="shared" si="6"/>
        <v>8640</v>
      </c>
      <c r="M45">
        <f t="shared" si="7"/>
        <v>48960</v>
      </c>
    </row>
    <row r="46" spans="1:13" x14ac:dyDescent="0.25">
      <c r="A46">
        <v>38</v>
      </c>
      <c r="B46" t="str">
        <f>EMPLOYEEDATA!B48</f>
        <v>USMAN</v>
      </c>
      <c r="C46">
        <f>IF(AND(EMPLOYEEDATA!I48="BSC"),8,IF(AND(EMPLOYEEDATA!I48="HND"),7,IF(AND(EMPLOYEEDATA!I48="ND"),5,IF(AND(EMPLOYEEDATA!I48="NCE"),4,2))))</f>
        <v>8</v>
      </c>
      <c r="D46">
        <f>PRODUCT(EMPLOYEEDATA!J48,EMPLOYEEDATA!K48)</f>
        <v>48000</v>
      </c>
      <c r="E46">
        <f t="shared" si="0"/>
        <v>2400</v>
      </c>
      <c r="F46">
        <f>IF(AND(EMPLOYEEDATA!F48="OFF QUARTERS"),0.06*D46,0)</f>
        <v>2880</v>
      </c>
      <c r="G46">
        <f t="shared" si="1"/>
        <v>4320</v>
      </c>
      <c r="H46">
        <f t="shared" si="2"/>
        <v>57600</v>
      </c>
      <c r="I46">
        <f t="shared" si="3"/>
        <v>3600</v>
      </c>
      <c r="J46">
        <f t="shared" si="4"/>
        <v>1440</v>
      </c>
      <c r="K46">
        <f t="shared" si="5"/>
        <v>3600</v>
      </c>
      <c r="L46">
        <f t="shared" si="6"/>
        <v>8640</v>
      </c>
      <c r="M46">
        <f t="shared" si="7"/>
        <v>48960</v>
      </c>
    </row>
    <row r="47" spans="1:13" x14ac:dyDescent="0.25">
      <c r="A47">
        <v>39</v>
      </c>
      <c r="B47" t="str">
        <f>EMPLOYEEDATA!B49</f>
        <v>JAMAL</v>
      </c>
      <c r="C47">
        <f>IF(AND(EMPLOYEEDATA!I49="BSC"),8,IF(AND(EMPLOYEEDATA!I49="HND"),7,IF(AND(EMPLOYEEDATA!I49="ND"),5,IF(AND(EMPLOYEEDATA!I49="NCE"),4,2))))</f>
        <v>8</v>
      </c>
      <c r="D47">
        <f>PRODUCT(EMPLOYEEDATA!J49,EMPLOYEEDATA!K49)</f>
        <v>48000</v>
      </c>
      <c r="E47">
        <f t="shared" si="0"/>
        <v>2400</v>
      </c>
      <c r="F47">
        <f>IF(AND(EMPLOYEEDATA!F49="OFF QUARTERS"),0.06*D47,0)</f>
        <v>0</v>
      </c>
      <c r="G47">
        <f t="shared" si="1"/>
        <v>4320</v>
      </c>
      <c r="H47">
        <f t="shared" si="2"/>
        <v>54720</v>
      </c>
      <c r="I47">
        <f t="shared" si="3"/>
        <v>3600</v>
      </c>
      <c r="J47">
        <f t="shared" si="4"/>
        <v>1440</v>
      </c>
      <c r="K47">
        <f t="shared" si="5"/>
        <v>3600</v>
      </c>
      <c r="L47">
        <f t="shared" si="6"/>
        <v>8640</v>
      </c>
      <c r="M47">
        <f t="shared" si="7"/>
        <v>46080</v>
      </c>
    </row>
    <row r="48" spans="1:13" x14ac:dyDescent="0.25">
      <c r="A48">
        <v>40</v>
      </c>
      <c r="B48" t="str">
        <f>EMPLOYEEDATA!B50</f>
        <v>TOSIN</v>
      </c>
      <c r="C48">
        <f>IF(AND(EMPLOYEEDATA!I50="BSC"),8,IF(AND(EMPLOYEEDATA!I50="HND"),7,IF(AND(EMPLOYEEDATA!I50="ND"),5,IF(AND(EMPLOYEEDATA!I50="NCE"),4,2))))</f>
        <v>8</v>
      </c>
      <c r="D48">
        <f>PRODUCT(EMPLOYEEDATA!J50,EMPLOYEEDATA!K50)</f>
        <v>48000</v>
      </c>
      <c r="E48">
        <f t="shared" si="0"/>
        <v>2400</v>
      </c>
      <c r="F48">
        <f>IF(AND(EMPLOYEEDATA!F50="OFF QUARTERS"),0.06*D48,0)</f>
        <v>0</v>
      </c>
      <c r="G48">
        <f t="shared" si="1"/>
        <v>4320</v>
      </c>
      <c r="H48">
        <f t="shared" si="2"/>
        <v>54720</v>
      </c>
      <c r="I48">
        <f t="shared" si="3"/>
        <v>3600</v>
      </c>
      <c r="J48">
        <f t="shared" si="4"/>
        <v>1440</v>
      </c>
      <c r="K48">
        <f t="shared" si="5"/>
        <v>3600</v>
      </c>
      <c r="L48">
        <f t="shared" si="6"/>
        <v>8640</v>
      </c>
      <c r="M48">
        <f t="shared" si="7"/>
        <v>46080</v>
      </c>
    </row>
    <row r="49" spans="1:13" x14ac:dyDescent="0.25">
      <c r="A49">
        <v>41</v>
      </c>
      <c r="B49" t="str">
        <f>EMPLOYEEDATA!B51</f>
        <v>PELUMI</v>
      </c>
      <c r="C49">
        <f>IF(AND(EMPLOYEEDATA!I51="BSC"),8,IF(AND(EMPLOYEEDATA!I51="HND"),7,IF(AND(EMPLOYEEDATA!I51="ND"),5,IF(AND(EMPLOYEEDATA!I51="NCE"),4,2))))</f>
        <v>7</v>
      </c>
      <c r="D49">
        <f>PRODUCT(EMPLOYEEDATA!J51,EMPLOYEEDATA!K51)</f>
        <v>45000</v>
      </c>
      <c r="E49">
        <f t="shared" si="0"/>
        <v>2250</v>
      </c>
      <c r="F49">
        <f>IF(AND(EMPLOYEEDATA!F51="OFF QUARTERS"),0.06*D49,0)</f>
        <v>0</v>
      </c>
      <c r="G49">
        <f t="shared" si="1"/>
        <v>4050</v>
      </c>
      <c r="H49">
        <f t="shared" si="2"/>
        <v>51300</v>
      </c>
      <c r="I49">
        <f t="shared" si="3"/>
        <v>3375</v>
      </c>
      <c r="J49">
        <f t="shared" si="4"/>
        <v>1350</v>
      </c>
      <c r="K49">
        <f t="shared" si="5"/>
        <v>3375</v>
      </c>
      <c r="L49">
        <f t="shared" si="6"/>
        <v>8100</v>
      </c>
      <c r="M49">
        <f t="shared" si="7"/>
        <v>43200</v>
      </c>
    </row>
    <row r="50" spans="1:13" x14ac:dyDescent="0.25">
      <c r="A50">
        <v>42</v>
      </c>
      <c r="B50" t="str">
        <f>EMPLOYEEDATA!B52</f>
        <v>FERANMI</v>
      </c>
      <c r="C50">
        <f>IF(AND(EMPLOYEEDATA!I52="BSC"),8,IF(AND(EMPLOYEEDATA!I52="HND"),7,IF(AND(EMPLOYEEDATA!I52="ND"),5,IF(AND(EMPLOYEEDATA!I52="NCE"),4,2))))</f>
        <v>8</v>
      </c>
      <c r="D50">
        <f>PRODUCT(EMPLOYEEDATA!J52,EMPLOYEEDATA!K52)</f>
        <v>48000</v>
      </c>
      <c r="E50">
        <f t="shared" si="0"/>
        <v>2400</v>
      </c>
      <c r="F50">
        <f>IF(AND(EMPLOYEEDATA!F52="OFF QUARTERS"),0.06*D50,0)</f>
        <v>2880</v>
      </c>
      <c r="G50">
        <f t="shared" si="1"/>
        <v>4320</v>
      </c>
      <c r="H50">
        <f t="shared" si="2"/>
        <v>57600</v>
      </c>
      <c r="I50">
        <f t="shared" si="3"/>
        <v>3600</v>
      </c>
      <c r="J50">
        <f t="shared" si="4"/>
        <v>1440</v>
      </c>
      <c r="K50">
        <f t="shared" si="5"/>
        <v>3600</v>
      </c>
      <c r="L50">
        <f t="shared" si="6"/>
        <v>8640</v>
      </c>
      <c r="M50">
        <f t="shared" si="7"/>
        <v>48960</v>
      </c>
    </row>
    <row r="51" spans="1:13" x14ac:dyDescent="0.25">
      <c r="A51">
        <v>43</v>
      </c>
      <c r="B51" t="str">
        <f>EMPLOYEEDATA!B53</f>
        <v>MARVY</v>
      </c>
      <c r="C51">
        <f>IF(AND(EMPLOYEEDATA!I53="BSC"),8,IF(AND(EMPLOYEEDATA!I53="HND"),7,IF(AND(EMPLOYEEDATA!I53="ND"),5,IF(AND(EMPLOYEEDATA!I53="NCE"),4,2))))</f>
        <v>2</v>
      </c>
      <c r="D51">
        <f>PRODUCT(EMPLOYEEDATA!J53,EMPLOYEEDATA!K53)</f>
        <v>26400</v>
      </c>
      <c r="E51">
        <f t="shared" si="0"/>
        <v>1320</v>
      </c>
      <c r="F51">
        <f>IF(AND(EMPLOYEEDATA!F53="OFF QUARTERS"),0.06*D51,0)</f>
        <v>1584</v>
      </c>
      <c r="G51">
        <f t="shared" si="1"/>
        <v>2376</v>
      </c>
      <c r="H51">
        <f t="shared" si="2"/>
        <v>31680</v>
      </c>
      <c r="I51">
        <f t="shared" si="3"/>
        <v>1980</v>
      </c>
      <c r="J51">
        <f t="shared" si="4"/>
        <v>792</v>
      </c>
      <c r="K51">
        <f t="shared" si="5"/>
        <v>1980</v>
      </c>
      <c r="L51">
        <f t="shared" si="6"/>
        <v>4752</v>
      </c>
      <c r="M51">
        <f t="shared" si="7"/>
        <v>26928</v>
      </c>
    </row>
    <row r="52" spans="1:13" x14ac:dyDescent="0.25">
      <c r="A52">
        <v>44</v>
      </c>
      <c r="B52" t="str">
        <f>EMPLOYEEDATA!B54</f>
        <v>FAVOUR</v>
      </c>
      <c r="C52">
        <f>IF(AND(EMPLOYEEDATA!I54="BSC"),8,IF(AND(EMPLOYEEDATA!I54="HND"),7,IF(AND(EMPLOYEEDATA!I54="ND"),5,IF(AND(EMPLOYEEDATA!I54="NCE"),4,2))))</f>
        <v>8</v>
      </c>
      <c r="D52">
        <f>PRODUCT(EMPLOYEEDATA!J54,EMPLOYEEDATA!K54)</f>
        <v>48000</v>
      </c>
      <c r="E52">
        <f t="shared" si="0"/>
        <v>2400</v>
      </c>
      <c r="F52">
        <f>IF(AND(EMPLOYEEDATA!F54="OFF QUARTERS"),0.06*D52,0)</f>
        <v>0</v>
      </c>
      <c r="G52">
        <f t="shared" si="1"/>
        <v>4320</v>
      </c>
      <c r="H52">
        <f t="shared" si="2"/>
        <v>54720</v>
      </c>
      <c r="I52">
        <f t="shared" si="3"/>
        <v>3600</v>
      </c>
      <c r="J52">
        <f t="shared" si="4"/>
        <v>1440</v>
      </c>
      <c r="K52">
        <f t="shared" si="5"/>
        <v>3600</v>
      </c>
      <c r="L52">
        <f t="shared" si="6"/>
        <v>8640</v>
      </c>
      <c r="M52">
        <f t="shared" si="7"/>
        <v>46080</v>
      </c>
    </row>
    <row r="53" spans="1:13" x14ac:dyDescent="0.25">
      <c r="A53">
        <v>45</v>
      </c>
      <c r="B53" t="str">
        <f>EMPLOYEEDATA!B55</f>
        <v>LOLA</v>
      </c>
      <c r="C53">
        <f>IF(AND(EMPLOYEEDATA!I55="BSC"),8,IF(AND(EMPLOYEEDATA!I55="HND"),7,IF(AND(EMPLOYEEDATA!I55="ND"),5,IF(AND(EMPLOYEEDATA!I55="NCE"),4,2))))</f>
        <v>8</v>
      </c>
      <c r="D53">
        <f>PRODUCT(EMPLOYEEDATA!J55,EMPLOYEEDATA!K55)</f>
        <v>48000</v>
      </c>
      <c r="E53">
        <f t="shared" si="0"/>
        <v>2400</v>
      </c>
      <c r="F53">
        <f>IF(AND(EMPLOYEEDATA!F55="OFF QUARTERS"),0.06*D53,0)</f>
        <v>0</v>
      </c>
      <c r="G53">
        <f t="shared" si="1"/>
        <v>4320</v>
      </c>
      <c r="H53">
        <f t="shared" si="2"/>
        <v>54720</v>
      </c>
      <c r="I53">
        <f t="shared" si="3"/>
        <v>3600</v>
      </c>
      <c r="J53">
        <f t="shared" si="4"/>
        <v>1440</v>
      </c>
      <c r="K53">
        <f t="shared" si="5"/>
        <v>3600</v>
      </c>
      <c r="L53">
        <f t="shared" si="6"/>
        <v>8640</v>
      </c>
      <c r="M53">
        <f t="shared" si="7"/>
        <v>46080</v>
      </c>
    </row>
    <row r="54" spans="1:13" x14ac:dyDescent="0.25">
      <c r="A54">
        <v>46</v>
      </c>
      <c r="B54" t="str">
        <f>EMPLOYEEDATA!B56</f>
        <v>DAMI</v>
      </c>
      <c r="C54">
        <f>IF(AND(EMPLOYEEDATA!I56="BSC"),8,IF(AND(EMPLOYEEDATA!I56="HND"),7,IF(AND(EMPLOYEEDATA!I56="ND"),5,IF(AND(EMPLOYEEDATA!I56="NCE"),4,2))))</f>
        <v>5</v>
      </c>
      <c r="D54">
        <f>PRODUCT(EMPLOYEEDATA!J56,EMPLOYEEDATA!K56)</f>
        <v>30800</v>
      </c>
      <c r="E54">
        <f t="shared" si="0"/>
        <v>1540</v>
      </c>
      <c r="F54">
        <f>IF(AND(EMPLOYEEDATA!F56="OFF QUARTERS"),0.06*D54,0)</f>
        <v>1848</v>
      </c>
      <c r="G54">
        <f t="shared" si="1"/>
        <v>2772</v>
      </c>
      <c r="H54">
        <f t="shared" si="2"/>
        <v>36960</v>
      </c>
      <c r="I54">
        <f t="shared" si="3"/>
        <v>2310</v>
      </c>
      <c r="J54">
        <f t="shared" si="4"/>
        <v>924</v>
      </c>
      <c r="K54">
        <f t="shared" si="5"/>
        <v>2310</v>
      </c>
      <c r="L54">
        <f t="shared" si="6"/>
        <v>5544</v>
      </c>
      <c r="M54">
        <f t="shared" si="7"/>
        <v>31416</v>
      </c>
    </row>
    <row r="55" spans="1:13" x14ac:dyDescent="0.25">
      <c r="A55">
        <v>47</v>
      </c>
      <c r="B55" t="str">
        <f>EMPLOYEEDATA!B57</f>
        <v>TOMI</v>
      </c>
      <c r="C55">
        <f>IF(AND(EMPLOYEEDATA!I57="BSC"),8,IF(AND(EMPLOYEEDATA!I57="HND"),7,IF(AND(EMPLOYEEDATA!I57="ND"),5,IF(AND(EMPLOYEEDATA!I57="NCE"),4,2))))</f>
        <v>8</v>
      </c>
      <c r="D55">
        <f>PRODUCT(EMPLOYEEDATA!J57,EMPLOYEEDATA!K57)</f>
        <v>48000</v>
      </c>
      <c r="E55">
        <f t="shared" si="0"/>
        <v>2400</v>
      </c>
      <c r="F55">
        <f>IF(AND(EMPLOYEEDATA!F57="OFF QUARTERS"),0.06*D55,0)</f>
        <v>0</v>
      </c>
      <c r="G55">
        <f t="shared" si="1"/>
        <v>4320</v>
      </c>
      <c r="H55">
        <f t="shared" si="2"/>
        <v>54720</v>
      </c>
      <c r="I55">
        <f t="shared" si="3"/>
        <v>3600</v>
      </c>
      <c r="J55">
        <f t="shared" si="4"/>
        <v>1440</v>
      </c>
      <c r="K55">
        <f t="shared" si="5"/>
        <v>3600</v>
      </c>
      <c r="L55">
        <f t="shared" si="6"/>
        <v>8640</v>
      </c>
      <c r="M55">
        <f t="shared" si="7"/>
        <v>46080</v>
      </c>
    </row>
    <row r="56" spans="1:13" x14ac:dyDescent="0.25">
      <c r="A56">
        <v>48</v>
      </c>
      <c r="B56" t="str">
        <f>EMPLOYEEDATA!B58</f>
        <v>HAPINESS</v>
      </c>
      <c r="C56">
        <f>IF(AND(EMPLOYEEDATA!I58="BSC"),8,IF(AND(EMPLOYEEDATA!I58="HND"),7,IF(AND(EMPLOYEEDATA!I58="ND"),5,IF(AND(EMPLOYEEDATA!I58="NCE"),4,2))))</f>
        <v>8</v>
      </c>
      <c r="D56">
        <f>PRODUCT(EMPLOYEEDATA!J58,EMPLOYEEDATA!K58)</f>
        <v>48000</v>
      </c>
      <c r="E56">
        <f t="shared" si="0"/>
        <v>2400</v>
      </c>
      <c r="F56">
        <f>IF(AND(EMPLOYEEDATA!F58="OFF QUARTERS"),0.06*D56,0)</f>
        <v>0</v>
      </c>
      <c r="G56">
        <f t="shared" si="1"/>
        <v>4320</v>
      </c>
      <c r="H56">
        <f t="shared" si="2"/>
        <v>54720</v>
      </c>
      <c r="I56">
        <f t="shared" si="3"/>
        <v>3600</v>
      </c>
      <c r="J56">
        <f t="shared" si="4"/>
        <v>1440</v>
      </c>
      <c r="K56">
        <f t="shared" si="5"/>
        <v>3600</v>
      </c>
      <c r="L56">
        <f t="shared" si="6"/>
        <v>8640</v>
      </c>
      <c r="M56">
        <f t="shared" si="7"/>
        <v>46080</v>
      </c>
    </row>
    <row r="57" spans="1:13" x14ac:dyDescent="0.25">
      <c r="A57">
        <v>49</v>
      </c>
      <c r="B57" t="str">
        <f>EMPLOYEEDATA!B59</f>
        <v>PRINCESS</v>
      </c>
      <c r="C57">
        <f>IF(AND(EMPLOYEEDATA!I59="BSC"),8,IF(AND(EMPLOYEEDATA!I59="HND"),7,IF(AND(EMPLOYEEDATA!I59="ND"),5,IF(AND(EMPLOYEEDATA!I59="NCE"),4,2))))</f>
        <v>8</v>
      </c>
      <c r="D57">
        <f>PRODUCT(EMPLOYEEDATA!J59,EMPLOYEEDATA!K59)</f>
        <v>48000</v>
      </c>
      <c r="E57">
        <f t="shared" si="0"/>
        <v>2400</v>
      </c>
      <c r="F57">
        <f>IF(AND(EMPLOYEEDATA!F59="OFF QUARTERS"),0.06*D57,0)</f>
        <v>0</v>
      </c>
      <c r="G57">
        <f t="shared" si="1"/>
        <v>4320</v>
      </c>
      <c r="H57">
        <f t="shared" si="2"/>
        <v>54720</v>
      </c>
      <c r="I57">
        <f t="shared" si="3"/>
        <v>3600</v>
      </c>
      <c r="J57">
        <f t="shared" si="4"/>
        <v>1440</v>
      </c>
      <c r="K57">
        <f t="shared" si="5"/>
        <v>3600</v>
      </c>
      <c r="L57">
        <f t="shared" si="6"/>
        <v>8640</v>
      </c>
      <c r="M57">
        <f t="shared" si="7"/>
        <v>46080</v>
      </c>
    </row>
    <row r="58" spans="1:13" x14ac:dyDescent="0.25">
      <c r="A58">
        <v>50</v>
      </c>
      <c r="B58" t="str">
        <f>EMPLOYEEDATA!B60</f>
        <v>QUEEN</v>
      </c>
      <c r="C58">
        <f>IF(AND(EMPLOYEEDATA!I60="BSC"),8,IF(AND(EMPLOYEEDATA!I60="HND"),7,IF(AND(EMPLOYEEDATA!I60="ND"),5,IF(AND(EMPLOYEEDATA!I60="NCE"),4,2))))</f>
        <v>8</v>
      </c>
      <c r="D58">
        <f>PRODUCT(EMPLOYEEDATA!J60,EMPLOYEEDATA!K60)</f>
        <v>48000</v>
      </c>
      <c r="E58">
        <f t="shared" si="0"/>
        <v>2400</v>
      </c>
      <c r="F58">
        <f>IF(AND(EMPLOYEEDATA!F60="OFF QUARTERS"),0.06*D58,0)</f>
        <v>0</v>
      </c>
      <c r="G58">
        <f t="shared" si="1"/>
        <v>4320</v>
      </c>
      <c r="H58">
        <f t="shared" si="2"/>
        <v>54720</v>
      </c>
      <c r="I58">
        <f t="shared" si="3"/>
        <v>3600</v>
      </c>
      <c r="J58">
        <f t="shared" si="4"/>
        <v>1440</v>
      </c>
      <c r="K58">
        <f t="shared" si="5"/>
        <v>3600</v>
      </c>
      <c r="L58">
        <f t="shared" si="6"/>
        <v>8640</v>
      </c>
      <c r="M58">
        <f t="shared" si="7"/>
        <v>46080</v>
      </c>
    </row>
    <row r="59" spans="1:13" x14ac:dyDescent="0.25">
      <c r="A59">
        <v>51</v>
      </c>
      <c r="B59" t="str">
        <f>EMPLOYEEDATA!B61</f>
        <v>GREATNESS</v>
      </c>
      <c r="C59">
        <f>IF(AND(EMPLOYEEDATA!I61="BSC"),8,IF(AND(EMPLOYEEDATA!I61="HND"),7,IF(AND(EMPLOYEEDATA!I61="ND"),5,IF(AND(EMPLOYEEDATA!I61="NCE"),4,2))))</f>
        <v>8</v>
      </c>
      <c r="D59">
        <f>PRODUCT(EMPLOYEEDATA!J61,EMPLOYEEDATA!K61)</f>
        <v>48000</v>
      </c>
      <c r="E59">
        <f t="shared" si="0"/>
        <v>2400</v>
      </c>
      <c r="F59">
        <f>IF(AND(EMPLOYEEDATA!F61="OFF QUARTERS"),0.06*D59,0)</f>
        <v>0</v>
      </c>
      <c r="G59">
        <f t="shared" si="1"/>
        <v>4320</v>
      </c>
      <c r="H59">
        <f t="shared" si="2"/>
        <v>54720</v>
      </c>
      <c r="I59">
        <f t="shared" si="3"/>
        <v>3600</v>
      </c>
      <c r="J59">
        <f t="shared" si="4"/>
        <v>1440</v>
      </c>
      <c r="K59">
        <f t="shared" si="5"/>
        <v>3600</v>
      </c>
      <c r="L59">
        <f t="shared" si="6"/>
        <v>8640</v>
      </c>
      <c r="M59">
        <f t="shared" si="7"/>
        <v>46080</v>
      </c>
    </row>
    <row r="60" spans="1:13" x14ac:dyDescent="0.25">
      <c r="A60">
        <v>52</v>
      </c>
      <c r="B60" t="str">
        <f>EMPLOYEEDATA!B62</f>
        <v>KUKU</v>
      </c>
      <c r="C60">
        <f>IF(AND(EMPLOYEEDATA!I62="BSC"),8,IF(AND(EMPLOYEEDATA!I62="HND"),7,IF(AND(EMPLOYEEDATA!I62="ND"),5,IF(AND(EMPLOYEEDATA!I62="NCE"),4,2))))</f>
        <v>8</v>
      </c>
      <c r="D60">
        <f>PRODUCT(EMPLOYEEDATA!J62,EMPLOYEEDATA!K62)</f>
        <v>48000</v>
      </c>
      <c r="E60">
        <f t="shared" si="0"/>
        <v>2400</v>
      </c>
      <c r="F60">
        <f>IF(AND(EMPLOYEEDATA!F62="OFF QUARTERS"),0.06*D60,0)</f>
        <v>0</v>
      </c>
      <c r="G60">
        <f t="shared" si="1"/>
        <v>4320</v>
      </c>
      <c r="H60">
        <f t="shared" si="2"/>
        <v>54720</v>
      </c>
      <c r="I60">
        <f t="shared" si="3"/>
        <v>3600</v>
      </c>
      <c r="J60">
        <f t="shared" si="4"/>
        <v>1440</v>
      </c>
      <c r="K60">
        <f t="shared" si="5"/>
        <v>3600</v>
      </c>
      <c r="L60">
        <f t="shared" si="6"/>
        <v>8640</v>
      </c>
      <c r="M60">
        <f t="shared" si="7"/>
        <v>46080</v>
      </c>
    </row>
    <row r="61" spans="1:13" x14ac:dyDescent="0.25">
      <c r="A61">
        <v>53</v>
      </c>
      <c r="B61" t="str">
        <f>EMPLOYEEDATA!B63</f>
        <v>SUNKANMI</v>
      </c>
      <c r="C61">
        <f>IF(AND(EMPLOYEEDATA!I63="BSC"),8,IF(AND(EMPLOYEEDATA!I63="HND"),7,IF(AND(EMPLOYEEDATA!I63="ND"),5,IF(AND(EMPLOYEEDATA!I63="NCE"),4,2))))</f>
        <v>8</v>
      </c>
      <c r="D61">
        <f>PRODUCT(EMPLOYEEDATA!J63,EMPLOYEEDATA!K63)</f>
        <v>48000</v>
      </c>
      <c r="E61">
        <f t="shared" si="0"/>
        <v>2400</v>
      </c>
      <c r="F61">
        <f>IF(AND(EMPLOYEEDATA!F63="OFF QUARTERS"),0.06*D61,0)</f>
        <v>0</v>
      </c>
      <c r="G61">
        <f t="shared" si="1"/>
        <v>4320</v>
      </c>
      <c r="H61">
        <f t="shared" si="2"/>
        <v>54720</v>
      </c>
      <c r="I61">
        <f t="shared" si="3"/>
        <v>3600</v>
      </c>
      <c r="J61">
        <f t="shared" si="4"/>
        <v>1440</v>
      </c>
      <c r="K61">
        <f t="shared" si="5"/>
        <v>3600</v>
      </c>
      <c r="L61">
        <f t="shared" si="6"/>
        <v>8640</v>
      </c>
      <c r="M61">
        <f t="shared" si="7"/>
        <v>46080</v>
      </c>
    </row>
    <row r="62" spans="1:13" x14ac:dyDescent="0.25">
      <c r="A62">
        <v>54</v>
      </c>
      <c r="B62" t="str">
        <f>EMPLOYEEDATA!B64</f>
        <v>OYEDEJI</v>
      </c>
      <c r="C62">
        <f>IF(AND(EMPLOYEEDATA!I64="BSC"),8,IF(AND(EMPLOYEEDATA!I64="HND"),7,IF(AND(EMPLOYEEDATA!I64="ND"),5,IF(AND(EMPLOYEEDATA!I64="NCE"),4,2))))</f>
        <v>2</v>
      </c>
      <c r="D62">
        <f>PRODUCT(EMPLOYEEDATA!J64,EMPLOYEEDATA!K64)</f>
        <v>26400</v>
      </c>
      <c r="E62">
        <f t="shared" si="0"/>
        <v>1320</v>
      </c>
      <c r="F62">
        <f>IF(AND(EMPLOYEEDATA!F64="OFF QUARTERS"),0.06*D62,0)</f>
        <v>1584</v>
      </c>
      <c r="G62">
        <f t="shared" si="1"/>
        <v>2376</v>
      </c>
      <c r="H62">
        <f t="shared" si="2"/>
        <v>31680</v>
      </c>
      <c r="I62">
        <f t="shared" si="3"/>
        <v>1980</v>
      </c>
      <c r="J62">
        <f t="shared" si="4"/>
        <v>792</v>
      </c>
      <c r="K62">
        <f t="shared" si="5"/>
        <v>1980</v>
      </c>
      <c r="L62">
        <f t="shared" si="6"/>
        <v>4752</v>
      </c>
      <c r="M62">
        <f t="shared" si="7"/>
        <v>26928</v>
      </c>
    </row>
    <row r="63" spans="1:13" x14ac:dyDescent="0.25">
      <c r="A63">
        <v>55</v>
      </c>
      <c r="B63" t="str">
        <f>EMPLOYEEDATA!B65</f>
        <v>ODUWOLE</v>
      </c>
      <c r="C63">
        <f>IF(AND(EMPLOYEEDATA!I65="BSC"),8,IF(AND(EMPLOYEEDATA!I65="HND"),7,IF(AND(EMPLOYEEDATA!I65="ND"),5,IF(AND(EMPLOYEEDATA!I65="NCE"),4,2))))</f>
        <v>4</v>
      </c>
      <c r="D63">
        <f>PRODUCT(EMPLOYEEDATA!J65,EMPLOYEEDATA!K65)</f>
        <v>26450</v>
      </c>
      <c r="E63">
        <f t="shared" si="0"/>
        <v>1322.5</v>
      </c>
      <c r="F63">
        <f>IF(AND(EMPLOYEEDATA!F65="OFF QUARTERS"),0.06*D63,0)</f>
        <v>1587</v>
      </c>
      <c r="G63">
        <f t="shared" si="1"/>
        <v>2380.5</v>
      </c>
      <c r="H63">
        <f t="shared" si="2"/>
        <v>31740</v>
      </c>
      <c r="I63">
        <f t="shared" si="3"/>
        <v>1983.75</v>
      </c>
      <c r="J63">
        <f t="shared" si="4"/>
        <v>793.5</v>
      </c>
      <c r="K63">
        <f t="shared" si="5"/>
        <v>1983.75</v>
      </c>
      <c r="L63">
        <f t="shared" si="6"/>
        <v>4761</v>
      </c>
      <c r="M63">
        <f t="shared" si="7"/>
        <v>26979</v>
      </c>
    </row>
    <row r="64" spans="1:13" x14ac:dyDescent="0.25">
      <c r="A64">
        <v>56</v>
      </c>
      <c r="B64" t="str">
        <f>EMPLOYEEDATA!B66</f>
        <v>FEMI</v>
      </c>
      <c r="C64">
        <f>IF(AND(EMPLOYEEDATA!I66="BSC"),8,IF(AND(EMPLOYEEDATA!I66="HND"),7,IF(AND(EMPLOYEEDATA!I66="ND"),5,IF(AND(EMPLOYEEDATA!I66="NCE"),4,2))))</f>
        <v>8</v>
      </c>
      <c r="D64">
        <f>PRODUCT(EMPLOYEEDATA!J66,EMPLOYEEDATA!K66)</f>
        <v>48000</v>
      </c>
      <c r="E64">
        <f t="shared" si="0"/>
        <v>2400</v>
      </c>
      <c r="F64">
        <f>IF(AND(EMPLOYEEDATA!F66="OFF QUARTERS"),0.06*D64,0)</f>
        <v>0</v>
      </c>
      <c r="G64">
        <f t="shared" si="1"/>
        <v>4320</v>
      </c>
      <c r="H64">
        <f t="shared" si="2"/>
        <v>54720</v>
      </c>
      <c r="I64">
        <f t="shared" si="3"/>
        <v>3600</v>
      </c>
      <c r="J64">
        <f t="shared" si="4"/>
        <v>1440</v>
      </c>
      <c r="K64">
        <f t="shared" si="5"/>
        <v>3600</v>
      </c>
      <c r="L64">
        <f t="shared" si="6"/>
        <v>8640</v>
      </c>
      <c r="M64">
        <f t="shared" si="7"/>
        <v>46080</v>
      </c>
    </row>
    <row r="65" spans="1:13" x14ac:dyDescent="0.25">
      <c r="A65">
        <v>57</v>
      </c>
      <c r="B65" t="str">
        <f>EMPLOYEEDATA!B67</f>
        <v>KEMI</v>
      </c>
      <c r="C65">
        <f>IF(AND(EMPLOYEEDATA!I67="BSC"),8,IF(AND(EMPLOYEEDATA!I67="HND"),7,IF(AND(EMPLOYEEDATA!I67="ND"),5,IF(AND(EMPLOYEEDATA!I67="NCE"),4,2))))</f>
        <v>5</v>
      </c>
      <c r="D65">
        <f>PRODUCT(EMPLOYEEDATA!J67,EMPLOYEEDATA!K67)</f>
        <v>30800</v>
      </c>
      <c r="E65">
        <f t="shared" si="0"/>
        <v>1540</v>
      </c>
      <c r="F65">
        <f>IF(AND(EMPLOYEEDATA!F67="OFF QUARTERS"),0.06*D65,0)</f>
        <v>1848</v>
      </c>
      <c r="G65">
        <f t="shared" si="1"/>
        <v>2772</v>
      </c>
      <c r="H65">
        <f t="shared" si="2"/>
        <v>36960</v>
      </c>
      <c r="I65">
        <f t="shared" si="3"/>
        <v>2310</v>
      </c>
      <c r="J65">
        <f t="shared" si="4"/>
        <v>924</v>
      </c>
      <c r="K65">
        <f t="shared" si="5"/>
        <v>2310</v>
      </c>
      <c r="L65">
        <f t="shared" si="6"/>
        <v>5544</v>
      </c>
      <c r="M65">
        <f t="shared" si="7"/>
        <v>31416</v>
      </c>
    </row>
    <row r="66" spans="1:13" x14ac:dyDescent="0.25">
      <c r="A66">
        <v>58</v>
      </c>
      <c r="B66" t="str">
        <f>EMPLOYEEDATA!B68</f>
        <v>TOLANI</v>
      </c>
      <c r="C66">
        <f>IF(AND(EMPLOYEEDATA!I68="BSC"),8,IF(AND(EMPLOYEEDATA!I68="HND"),7,IF(AND(EMPLOYEEDATA!I68="ND"),5,IF(AND(EMPLOYEEDATA!I68="NCE"),4,2))))</f>
        <v>8</v>
      </c>
      <c r="D66">
        <f>PRODUCT(EMPLOYEEDATA!J68,EMPLOYEEDATA!K68)</f>
        <v>48000</v>
      </c>
      <c r="E66">
        <f t="shared" si="0"/>
        <v>2400</v>
      </c>
      <c r="F66">
        <f>IF(AND(EMPLOYEEDATA!F68="OFF QUARTERS"),0.06*D66,0)</f>
        <v>2880</v>
      </c>
      <c r="G66">
        <f t="shared" si="1"/>
        <v>4320</v>
      </c>
      <c r="H66">
        <f t="shared" si="2"/>
        <v>57600</v>
      </c>
      <c r="I66">
        <f t="shared" si="3"/>
        <v>3600</v>
      </c>
      <c r="J66">
        <f t="shared" si="4"/>
        <v>1440</v>
      </c>
      <c r="K66">
        <f t="shared" si="5"/>
        <v>3600</v>
      </c>
      <c r="L66">
        <f t="shared" si="6"/>
        <v>8640</v>
      </c>
      <c r="M66">
        <f t="shared" si="7"/>
        <v>48960</v>
      </c>
    </row>
    <row r="67" spans="1:13" x14ac:dyDescent="0.25">
      <c r="A67">
        <v>59</v>
      </c>
      <c r="B67" t="str">
        <f>EMPLOYEEDATA!B69</f>
        <v>ENIOLA</v>
      </c>
      <c r="C67">
        <f>IF(AND(EMPLOYEEDATA!I69="BSC"),8,IF(AND(EMPLOYEEDATA!I69="HND"),7,IF(AND(EMPLOYEEDATA!I69="ND"),5,IF(AND(EMPLOYEEDATA!I69="NCE"),4,2))))</f>
        <v>8</v>
      </c>
      <c r="D67">
        <f>PRODUCT(EMPLOYEEDATA!J69,EMPLOYEEDATA!K69)</f>
        <v>48000</v>
      </c>
      <c r="E67">
        <f t="shared" si="0"/>
        <v>2400</v>
      </c>
      <c r="F67">
        <f>IF(AND(EMPLOYEEDATA!F69="OFF QUARTERS"),0.06*D67,0)</f>
        <v>2880</v>
      </c>
      <c r="G67">
        <f t="shared" si="1"/>
        <v>4320</v>
      </c>
      <c r="H67">
        <f t="shared" si="2"/>
        <v>57600</v>
      </c>
      <c r="I67">
        <f t="shared" si="3"/>
        <v>3600</v>
      </c>
      <c r="J67">
        <f t="shared" si="4"/>
        <v>1440</v>
      </c>
      <c r="K67">
        <f t="shared" si="5"/>
        <v>3600</v>
      </c>
      <c r="L67">
        <f t="shared" si="6"/>
        <v>8640</v>
      </c>
      <c r="M67">
        <f t="shared" si="7"/>
        <v>48960</v>
      </c>
    </row>
    <row r="68" spans="1:13" x14ac:dyDescent="0.25">
      <c r="A68">
        <v>60</v>
      </c>
      <c r="B68" t="str">
        <f>EMPLOYEEDATA!B70</f>
        <v>VICKY</v>
      </c>
      <c r="C68">
        <f>IF(AND(EMPLOYEEDATA!I70="BSC"),8,IF(AND(EMPLOYEEDATA!I70="HND"),7,IF(AND(EMPLOYEEDATA!I70="ND"),5,IF(AND(EMPLOYEEDATA!I70="NCE"),4,2))))</f>
        <v>8</v>
      </c>
      <c r="D68">
        <f>PRODUCT(EMPLOYEEDATA!J70,EMPLOYEEDATA!K70)</f>
        <v>48000</v>
      </c>
      <c r="E68">
        <f t="shared" si="0"/>
        <v>2400</v>
      </c>
      <c r="F68">
        <f>IF(AND(EMPLOYEEDATA!F70="OFF QUARTERS"),0.06*D68,0)</f>
        <v>2880</v>
      </c>
      <c r="G68">
        <f t="shared" si="1"/>
        <v>4320</v>
      </c>
      <c r="H68">
        <f t="shared" si="2"/>
        <v>57600</v>
      </c>
      <c r="I68">
        <f t="shared" si="3"/>
        <v>3600</v>
      </c>
      <c r="J68">
        <f t="shared" si="4"/>
        <v>1440</v>
      </c>
      <c r="K68">
        <f t="shared" si="5"/>
        <v>3600</v>
      </c>
      <c r="L68">
        <f t="shared" si="6"/>
        <v>8640</v>
      </c>
      <c r="M68">
        <f t="shared" si="7"/>
        <v>48960</v>
      </c>
    </row>
    <row r="69" spans="1:13" x14ac:dyDescent="0.25">
      <c r="A69">
        <v>61</v>
      </c>
      <c r="B69" t="str">
        <f>EMPLOYEEDATA!B71</f>
        <v>ESSIE</v>
      </c>
      <c r="C69">
        <f>IF(AND(EMPLOYEEDATA!I71="BSC"),8,IF(AND(EMPLOYEEDATA!I71="HND"),7,IF(AND(EMPLOYEEDATA!I71="ND"),5,IF(AND(EMPLOYEEDATA!I71="NCE"),4,2))))</f>
        <v>8</v>
      </c>
      <c r="D69">
        <f>PRODUCT(EMPLOYEEDATA!J71,EMPLOYEEDATA!K71)</f>
        <v>48000</v>
      </c>
      <c r="E69">
        <f t="shared" si="0"/>
        <v>2400</v>
      </c>
      <c r="F69">
        <f>IF(AND(EMPLOYEEDATA!F71="OFF QUARTERS"),0.06*D69,0)</f>
        <v>2880</v>
      </c>
      <c r="G69">
        <f t="shared" si="1"/>
        <v>4320</v>
      </c>
      <c r="H69">
        <f t="shared" si="2"/>
        <v>57600</v>
      </c>
      <c r="I69">
        <f t="shared" si="3"/>
        <v>3600</v>
      </c>
      <c r="J69">
        <f t="shared" si="4"/>
        <v>1440</v>
      </c>
      <c r="K69">
        <f t="shared" si="5"/>
        <v>3600</v>
      </c>
      <c r="L69">
        <f t="shared" si="6"/>
        <v>8640</v>
      </c>
      <c r="M69">
        <f t="shared" si="7"/>
        <v>48960</v>
      </c>
    </row>
    <row r="70" spans="1:13" x14ac:dyDescent="0.25">
      <c r="A70">
        <v>62</v>
      </c>
      <c r="B70" t="str">
        <f>EMPLOYEEDATA!B72</f>
        <v>ELIZABETH</v>
      </c>
      <c r="C70">
        <f>IF(AND(EMPLOYEEDATA!I72="BSC"),8,IF(AND(EMPLOYEEDATA!I72="HND"),7,IF(AND(EMPLOYEEDATA!I72="ND"),5,IF(AND(EMPLOYEEDATA!I72="NCE"),4,2))))</f>
        <v>7</v>
      </c>
      <c r="D70">
        <f>PRODUCT(EMPLOYEEDATA!J72,EMPLOYEEDATA!K72)</f>
        <v>45000</v>
      </c>
      <c r="E70">
        <f t="shared" si="0"/>
        <v>2250</v>
      </c>
      <c r="F70">
        <f>IF(AND(EMPLOYEEDATA!F72="OFF QUARTERS"),0.06*D70,0)</f>
        <v>0</v>
      </c>
      <c r="G70">
        <f t="shared" si="1"/>
        <v>4050</v>
      </c>
      <c r="H70">
        <f t="shared" si="2"/>
        <v>51300</v>
      </c>
      <c r="I70">
        <f t="shared" si="3"/>
        <v>3375</v>
      </c>
      <c r="J70">
        <f t="shared" si="4"/>
        <v>1350</v>
      </c>
      <c r="K70">
        <f t="shared" si="5"/>
        <v>3375</v>
      </c>
      <c r="L70">
        <f t="shared" si="6"/>
        <v>8100</v>
      </c>
      <c r="M70">
        <f t="shared" si="7"/>
        <v>43200</v>
      </c>
    </row>
    <row r="71" spans="1:13" x14ac:dyDescent="0.25">
      <c r="A71">
        <v>63</v>
      </c>
      <c r="B71" t="str">
        <f>EMPLOYEEDATA!B73</f>
        <v>LOVETH</v>
      </c>
      <c r="C71">
        <f>IF(AND(EMPLOYEEDATA!I73="BSC"),8,IF(AND(EMPLOYEEDATA!I73="HND"),7,IF(AND(EMPLOYEEDATA!I73="ND"),5,IF(AND(EMPLOYEEDATA!I73="NCE"),4,2))))</f>
        <v>8</v>
      </c>
      <c r="D71">
        <f>PRODUCT(EMPLOYEEDATA!J73,EMPLOYEEDATA!K73)</f>
        <v>48000</v>
      </c>
      <c r="E71">
        <f t="shared" si="0"/>
        <v>2400</v>
      </c>
      <c r="F71">
        <f>IF(AND(EMPLOYEEDATA!F73="OFF QUARTERS"),0.06*D71,0)</f>
        <v>0</v>
      </c>
      <c r="G71">
        <f t="shared" si="1"/>
        <v>4320</v>
      </c>
      <c r="H71">
        <f t="shared" si="2"/>
        <v>54720</v>
      </c>
      <c r="I71">
        <f t="shared" si="3"/>
        <v>3600</v>
      </c>
      <c r="J71">
        <f t="shared" si="4"/>
        <v>1440</v>
      </c>
      <c r="K71">
        <f t="shared" si="5"/>
        <v>3600</v>
      </c>
      <c r="L71">
        <f t="shared" si="6"/>
        <v>8640</v>
      </c>
      <c r="M71">
        <f t="shared" si="7"/>
        <v>46080</v>
      </c>
    </row>
    <row r="72" spans="1:13" x14ac:dyDescent="0.25">
      <c r="A72">
        <v>64</v>
      </c>
      <c r="B72" t="str">
        <f>EMPLOYEEDATA!B74</f>
        <v>NIFEMI</v>
      </c>
      <c r="C72">
        <f>IF(AND(EMPLOYEEDATA!I74="BSC"),8,IF(AND(EMPLOYEEDATA!I74="HND"),7,IF(AND(EMPLOYEEDATA!I74="ND"),5,IF(AND(EMPLOYEEDATA!I74="NCE"),4,2))))</f>
        <v>8</v>
      </c>
      <c r="D72">
        <f>PRODUCT(EMPLOYEEDATA!J74,EMPLOYEEDATA!K74)</f>
        <v>48000</v>
      </c>
      <c r="E72">
        <f t="shared" si="0"/>
        <v>2400</v>
      </c>
      <c r="F72">
        <f>IF(AND(EMPLOYEEDATA!F74="OFF QUARTERS"),0.06*D72,0)</f>
        <v>0</v>
      </c>
      <c r="G72">
        <f t="shared" si="1"/>
        <v>4320</v>
      </c>
      <c r="H72">
        <f t="shared" si="2"/>
        <v>54720</v>
      </c>
      <c r="I72">
        <f t="shared" si="3"/>
        <v>3600</v>
      </c>
      <c r="J72">
        <f t="shared" si="4"/>
        <v>1440</v>
      </c>
      <c r="K72">
        <f t="shared" si="5"/>
        <v>3600</v>
      </c>
      <c r="L72">
        <f t="shared" si="6"/>
        <v>8640</v>
      </c>
      <c r="M72">
        <f t="shared" si="7"/>
        <v>46080</v>
      </c>
    </row>
    <row r="73" spans="1:13" x14ac:dyDescent="0.25">
      <c r="A73">
        <v>65</v>
      </c>
      <c r="B73" t="str">
        <f>EMPLOYEEDATA!B75</f>
        <v>BANKOLE</v>
      </c>
      <c r="C73">
        <f>IF(AND(EMPLOYEEDATA!I75="BSC"),8,IF(AND(EMPLOYEEDATA!I75="HND"),7,IF(AND(EMPLOYEEDATA!I75="ND"),5,IF(AND(EMPLOYEEDATA!I75="NCE"),4,2))))</f>
        <v>8</v>
      </c>
      <c r="D73">
        <f>PRODUCT(EMPLOYEEDATA!J75,EMPLOYEEDATA!K75)</f>
        <v>48000</v>
      </c>
      <c r="E73">
        <f t="shared" si="0"/>
        <v>2400</v>
      </c>
      <c r="F73">
        <f>IF(AND(EMPLOYEEDATA!F75="OFF QUARTERS"),0.06*D73,0)</f>
        <v>0</v>
      </c>
      <c r="G73">
        <f t="shared" si="1"/>
        <v>4320</v>
      </c>
      <c r="H73">
        <f t="shared" si="2"/>
        <v>54720</v>
      </c>
      <c r="I73">
        <f t="shared" si="3"/>
        <v>3600</v>
      </c>
      <c r="J73">
        <f t="shared" si="4"/>
        <v>1440</v>
      </c>
      <c r="K73">
        <f t="shared" si="5"/>
        <v>3600</v>
      </c>
      <c r="L73">
        <f t="shared" si="6"/>
        <v>8640</v>
      </c>
      <c r="M73">
        <f t="shared" si="7"/>
        <v>46080</v>
      </c>
    </row>
    <row r="74" spans="1:13" x14ac:dyDescent="0.25">
      <c r="A74">
        <v>66</v>
      </c>
      <c r="B74" t="str">
        <f>EMPLOYEEDATA!B76</f>
        <v>JOHN</v>
      </c>
      <c r="C74">
        <f>IF(AND(EMPLOYEEDATA!I76="BSC"),8,IF(AND(EMPLOYEEDATA!I76="HND"),7,IF(AND(EMPLOYEEDATA!I76="ND"),5,IF(AND(EMPLOYEEDATA!I76="NCE"),4,2))))</f>
        <v>8</v>
      </c>
      <c r="D74">
        <f>PRODUCT(EMPLOYEEDATA!J76,EMPLOYEEDATA!K76)</f>
        <v>48000</v>
      </c>
      <c r="E74">
        <f t="shared" ref="E74:E88" si="8">PRODUCT(D74*0.05)</f>
        <v>2400</v>
      </c>
      <c r="F74">
        <f>IF(AND(EMPLOYEEDATA!F76="OFF QUARTERS"),0.06*D74,0)</f>
        <v>0</v>
      </c>
      <c r="G74">
        <f t="shared" ref="G74:G88" si="9">(0.09*D74)</f>
        <v>4320</v>
      </c>
      <c r="H74">
        <f t="shared" ref="H74:H88" si="10">SUM(D74,E74,F74,G74)</f>
        <v>54720</v>
      </c>
      <c r="I74">
        <f t="shared" ref="I74:I88" si="11">0.075*D74</f>
        <v>3600</v>
      </c>
      <c r="J74">
        <f t="shared" ref="J74:J88" si="12">0.03*D74</f>
        <v>1440</v>
      </c>
      <c r="K74">
        <f t="shared" ref="K74:K88" si="13">0.075*D74</f>
        <v>3600</v>
      </c>
      <c r="L74">
        <f t="shared" ref="L74:L88" si="14">SUM(I74:K74)</f>
        <v>8640</v>
      </c>
      <c r="M74">
        <f t="shared" ref="M74:M88" si="15">H74-L74</f>
        <v>46080</v>
      </c>
    </row>
    <row r="75" spans="1:13" x14ac:dyDescent="0.25">
      <c r="A75">
        <v>67</v>
      </c>
      <c r="B75" t="str">
        <f>EMPLOYEEDATA!B77</f>
        <v>TOLU</v>
      </c>
      <c r="C75">
        <f>IF(AND(EMPLOYEEDATA!I77="BSC"),8,IF(AND(EMPLOYEEDATA!I77="HND"),7,IF(AND(EMPLOYEEDATA!I77="ND"),5,IF(AND(EMPLOYEEDATA!I77="NCE"),4,2))))</f>
        <v>8</v>
      </c>
      <c r="D75">
        <f>PRODUCT(EMPLOYEEDATA!J77,EMPLOYEEDATA!K77)</f>
        <v>48000</v>
      </c>
      <c r="E75">
        <f t="shared" si="8"/>
        <v>2400</v>
      </c>
      <c r="F75">
        <f>IF(AND(EMPLOYEEDATA!F77="OFF QUARTERS"),0.06*D75,0)</f>
        <v>0</v>
      </c>
      <c r="G75">
        <f t="shared" si="9"/>
        <v>4320</v>
      </c>
      <c r="H75">
        <f t="shared" si="10"/>
        <v>54720</v>
      </c>
      <c r="I75">
        <f t="shared" si="11"/>
        <v>3600</v>
      </c>
      <c r="J75">
        <f t="shared" si="12"/>
        <v>1440</v>
      </c>
      <c r="K75">
        <f t="shared" si="13"/>
        <v>3600</v>
      </c>
      <c r="L75">
        <f t="shared" si="14"/>
        <v>8640</v>
      </c>
      <c r="M75">
        <f t="shared" si="15"/>
        <v>46080</v>
      </c>
    </row>
    <row r="76" spans="1:13" x14ac:dyDescent="0.25">
      <c r="A76">
        <v>68</v>
      </c>
      <c r="B76" t="str">
        <f>EMPLOYEEDATA!B78</f>
        <v>TAYO</v>
      </c>
      <c r="C76">
        <f>IF(AND(EMPLOYEEDATA!I78="BSC"),8,IF(AND(EMPLOYEEDATA!I78="HND"),7,IF(AND(EMPLOYEEDATA!I78="ND"),5,IF(AND(EMPLOYEEDATA!I78="NCE"),4,2))))</f>
        <v>5</v>
      </c>
      <c r="D76">
        <f>PRODUCT(EMPLOYEEDATA!J78,EMPLOYEEDATA!K78)</f>
        <v>30800</v>
      </c>
      <c r="E76">
        <f t="shared" si="8"/>
        <v>1540</v>
      </c>
      <c r="F76">
        <f>IF(AND(EMPLOYEEDATA!F78="OFF QUARTERS"),0.06*D76,0)</f>
        <v>1848</v>
      </c>
      <c r="G76">
        <f t="shared" si="9"/>
        <v>2772</v>
      </c>
      <c r="H76">
        <f t="shared" si="10"/>
        <v>36960</v>
      </c>
      <c r="I76">
        <f t="shared" si="11"/>
        <v>2310</v>
      </c>
      <c r="J76">
        <f t="shared" si="12"/>
        <v>924</v>
      </c>
      <c r="K76">
        <f t="shared" si="13"/>
        <v>2310</v>
      </c>
      <c r="L76">
        <f t="shared" si="14"/>
        <v>5544</v>
      </c>
      <c r="M76">
        <f t="shared" si="15"/>
        <v>31416</v>
      </c>
    </row>
    <row r="77" spans="1:13" x14ac:dyDescent="0.25">
      <c r="A77">
        <v>69</v>
      </c>
      <c r="B77" t="str">
        <f>EMPLOYEEDATA!B79</f>
        <v>YEMI</v>
      </c>
      <c r="C77">
        <f>IF(AND(EMPLOYEEDATA!I79="BSC"),8,IF(AND(EMPLOYEEDATA!I79="HND"),7,IF(AND(EMPLOYEEDATA!I79="ND"),5,IF(AND(EMPLOYEEDATA!I79="NCE"),4,2))))</f>
        <v>8</v>
      </c>
      <c r="D77">
        <f>PRODUCT(EMPLOYEEDATA!J79,EMPLOYEEDATA!K79)</f>
        <v>48000</v>
      </c>
      <c r="E77">
        <f t="shared" si="8"/>
        <v>2400</v>
      </c>
      <c r="F77">
        <f>IF(AND(EMPLOYEEDATA!F79="OFF QUARTERS"),0.06*D77,0)</f>
        <v>2880</v>
      </c>
      <c r="G77">
        <f t="shared" si="9"/>
        <v>4320</v>
      </c>
      <c r="H77">
        <f t="shared" si="10"/>
        <v>57600</v>
      </c>
      <c r="I77">
        <f t="shared" si="11"/>
        <v>3600</v>
      </c>
      <c r="J77">
        <f t="shared" si="12"/>
        <v>1440</v>
      </c>
      <c r="K77">
        <f t="shared" si="13"/>
        <v>3600</v>
      </c>
      <c r="L77">
        <f t="shared" si="14"/>
        <v>8640</v>
      </c>
      <c r="M77">
        <f t="shared" si="15"/>
        <v>48960</v>
      </c>
    </row>
    <row r="78" spans="1:13" x14ac:dyDescent="0.25">
      <c r="A78">
        <v>70</v>
      </c>
      <c r="B78" t="str">
        <f>EMPLOYEEDATA!B80</f>
        <v>AYOBAMI</v>
      </c>
      <c r="C78">
        <f>IF(AND(EMPLOYEEDATA!I80="BSC"),8,IF(AND(EMPLOYEEDATA!I80="HND"),7,IF(AND(EMPLOYEEDATA!I80="ND"),5,IF(AND(EMPLOYEEDATA!I80="NCE"),4,2))))</f>
        <v>8</v>
      </c>
      <c r="D78">
        <f>PRODUCT(EMPLOYEEDATA!J80,EMPLOYEEDATA!K80)</f>
        <v>48000</v>
      </c>
      <c r="E78">
        <f t="shared" si="8"/>
        <v>2400</v>
      </c>
      <c r="F78">
        <f>IF(AND(EMPLOYEEDATA!F80="OFF QUARTERS"),0.06*D78,0)</f>
        <v>2880</v>
      </c>
      <c r="G78">
        <f t="shared" si="9"/>
        <v>4320</v>
      </c>
      <c r="H78">
        <f t="shared" si="10"/>
        <v>57600</v>
      </c>
      <c r="I78">
        <f t="shared" si="11"/>
        <v>3600</v>
      </c>
      <c r="J78">
        <f t="shared" si="12"/>
        <v>1440</v>
      </c>
      <c r="K78">
        <f t="shared" si="13"/>
        <v>3600</v>
      </c>
      <c r="L78">
        <f t="shared" si="14"/>
        <v>8640</v>
      </c>
      <c r="M78">
        <f t="shared" si="15"/>
        <v>48960</v>
      </c>
    </row>
    <row r="79" spans="1:13" x14ac:dyDescent="0.25">
      <c r="A79">
        <v>71</v>
      </c>
      <c r="B79" t="str">
        <f>EMPLOYEEDATA!B81</f>
        <v>DOYIN</v>
      </c>
      <c r="C79">
        <f>IF(AND(EMPLOYEEDATA!I81="BSC"),8,IF(AND(EMPLOYEEDATA!I81="HND"),7,IF(AND(EMPLOYEEDATA!I81="ND"),5,IF(AND(EMPLOYEEDATA!I81="NCE"),4,2))))</f>
        <v>2</v>
      </c>
      <c r="D79">
        <f>PRODUCT(EMPLOYEEDATA!J81,EMPLOYEEDATA!K81)</f>
        <v>26400</v>
      </c>
      <c r="E79">
        <f t="shared" si="8"/>
        <v>1320</v>
      </c>
      <c r="F79">
        <f>IF(AND(EMPLOYEEDATA!F81="OFF QUARTERS"),0.06*D79,0)</f>
        <v>1584</v>
      </c>
      <c r="G79">
        <f t="shared" si="9"/>
        <v>2376</v>
      </c>
      <c r="H79">
        <f t="shared" si="10"/>
        <v>31680</v>
      </c>
      <c r="I79">
        <f t="shared" si="11"/>
        <v>1980</v>
      </c>
      <c r="J79">
        <f t="shared" si="12"/>
        <v>792</v>
      </c>
      <c r="K79">
        <f t="shared" si="13"/>
        <v>1980</v>
      </c>
      <c r="L79">
        <f t="shared" si="14"/>
        <v>4752</v>
      </c>
      <c r="M79">
        <f t="shared" si="15"/>
        <v>26928</v>
      </c>
    </row>
    <row r="80" spans="1:13" x14ac:dyDescent="0.25">
      <c r="A80">
        <v>72</v>
      </c>
      <c r="B80" t="str">
        <f>EMPLOYEEDATA!B82</f>
        <v>FESTUS</v>
      </c>
      <c r="C80">
        <f>IF(AND(EMPLOYEEDATA!I82="BSC"),8,IF(AND(EMPLOYEEDATA!I82="HND"),7,IF(AND(EMPLOYEEDATA!I82="ND"),5,IF(AND(EMPLOYEEDATA!I82="NCE"),4,2))))</f>
        <v>7</v>
      </c>
      <c r="D80">
        <f>PRODUCT(EMPLOYEEDATA!J82,EMPLOYEEDATA!K82)</f>
        <v>45000</v>
      </c>
      <c r="E80">
        <f t="shared" si="8"/>
        <v>2250</v>
      </c>
      <c r="F80">
        <f>IF(AND(EMPLOYEEDATA!F82="OFF QUARTERS"),0.06*D80,0)</f>
        <v>0</v>
      </c>
      <c r="G80">
        <f t="shared" si="9"/>
        <v>4050</v>
      </c>
      <c r="H80">
        <f t="shared" si="10"/>
        <v>51300</v>
      </c>
      <c r="I80">
        <f t="shared" si="11"/>
        <v>3375</v>
      </c>
      <c r="J80">
        <f t="shared" si="12"/>
        <v>1350</v>
      </c>
      <c r="K80">
        <f t="shared" si="13"/>
        <v>3375</v>
      </c>
      <c r="L80">
        <f t="shared" si="14"/>
        <v>8100</v>
      </c>
      <c r="M80">
        <f t="shared" si="15"/>
        <v>43200</v>
      </c>
    </row>
    <row r="81" spans="1:13" x14ac:dyDescent="0.25">
      <c r="A81">
        <v>73</v>
      </c>
      <c r="B81" t="str">
        <f>EMPLOYEEDATA!B83</f>
        <v>SEGUN</v>
      </c>
      <c r="C81">
        <f>IF(AND(EMPLOYEEDATA!I83="BSC"),8,IF(AND(EMPLOYEEDATA!I83="HND"),7,IF(AND(EMPLOYEEDATA!I83="ND"),5,IF(AND(EMPLOYEEDATA!I83="NCE"),4,2))))</f>
        <v>8</v>
      </c>
      <c r="D81">
        <f>PRODUCT(EMPLOYEEDATA!J83,EMPLOYEEDATA!K83)</f>
        <v>48000</v>
      </c>
      <c r="E81">
        <f t="shared" si="8"/>
        <v>2400</v>
      </c>
      <c r="F81">
        <f>IF(AND(EMPLOYEEDATA!F83="OFF QUARTERS"),0.06*D81,0)</f>
        <v>2880</v>
      </c>
      <c r="G81">
        <f t="shared" si="9"/>
        <v>4320</v>
      </c>
      <c r="H81">
        <f t="shared" si="10"/>
        <v>57600</v>
      </c>
      <c r="I81">
        <f t="shared" si="11"/>
        <v>3600</v>
      </c>
      <c r="J81">
        <f t="shared" si="12"/>
        <v>1440</v>
      </c>
      <c r="K81">
        <f t="shared" si="13"/>
        <v>3600</v>
      </c>
      <c r="L81">
        <f t="shared" si="14"/>
        <v>8640</v>
      </c>
      <c r="M81">
        <f t="shared" si="15"/>
        <v>48960</v>
      </c>
    </row>
    <row r="82" spans="1:13" x14ac:dyDescent="0.25">
      <c r="A82">
        <v>74</v>
      </c>
      <c r="B82" t="str">
        <f>EMPLOYEEDATA!B84</f>
        <v>FUNMI</v>
      </c>
      <c r="C82">
        <f>IF(AND(EMPLOYEEDATA!I84="BSC"),8,IF(AND(EMPLOYEEDATA!I84="HND"),7,IF(AND(EMPLOYEEDATA!I84="ND"),5,IF(AND(EMPLOYEEDATA!I84="NCE"),4,2))))</f>
        <v>8</v>
      </c>
      <c r="D82">
        <f>PRODUCT(EMPLOYEEDATA!J84,EMPLOYEEDATA!K84)</f>
        <v>48000</v>
      </c>
      <c r="E82">
        <f t="shared" si="8"/>
        <v>2400</v>
      </c>
      <c r="F82">
        <f>IF(AND(EMPLOYEEDATA!F84="OFF QUARTERS"),0.06*D82,0)</f>
        <v>0</v>
      </c>
      <c r="G82">
        <f t="shared" si="9"/>
        <v>4320</v>
      </c>
      <c r="H82">
        <f t="shared" si="10"/>
        <v>54720</v>
      </c>
      <c r="I82">
        <f t="shared" si="11"/>
        <v>3600</v>
      </c>
      <c r="J82">
        <f t="shared" si="12"/>
        <v>1440</v>
      </c>
      <c r="K82">
        <f t="shared" si="13"/>
        <v>3600</v>
      </c>
      <c r="L82">
        <f t="shared" si="14"/>
        <v>8640</v>
      </c>
      <c r="M82">
        <f t="shared" si="15"/>
        <v>46080</v>
      </c>
    </row>
    <row r="83" spans="1:13" x14ac:dyDescent="0.25">
      <c r="A83">
        <v>75</v>
      </c>
      <c r="B83" t="str">
        <f>EMPLOYEEDATA!B85</f>
        <v>FARIDAT</v>
      </c>
      <c r="C83">
        <f>IF(AND(EMPLOYEEDATA!I85="BSC"),8,IF(AND(EMPLOYEEDATA!I85="HND"),7,IF(AND(EMPLOYEEDATA!I85="ND"),5,IF(AND(EMPLOYEEDATA!I85="NCE"),4,2))))</f>
        <v>8</v>
      </c>
      <c r="D83">
        <f>PRODUCT(EMPLOYEEDATA!J85,EMPLOYEEDATA!K85)</f>
        <v>48000</v>
      </c>
      <c r="E83">
        <f t="shared" si="8"/>
        <v>2400</v>
      </c>
      <c r="F83">
        <f>IF(AND(EMPLOYEEDATA!F85="OFF QUARTERS"),0.06*D83,0)</f>
        <v>0</v>
      </c>
      <c r="G83">
        <f t="shared" si="9"/>
        <v>4320</v>
      </c>
      <c r="H83">
        <f t="shared" si="10"/>
        <v>54720</v>
      </c>
      <c r="I83">
        <f t="shared" si="11"/>
        <v>3600</v>
      </c>
      <c r="J83">
        <f t="shared" si="12"/>
        <v>1440</v>
      </c>
      <c r="K83">
        <f t="shared" si="13"/>
        <v>3600</v>
      </c>
      <c r="L83">
        <f t="shared" si="14"/>
        <v>8640</v>
      </c>
      <c r="M83">
        <f t="shared" si="15"/>
        <v>46080</v>
      </c>
    </row>
    <row r="84" spans="1:13" x14ac:dyDescent="0.25">
      <c r="A84">
        <v>76</v>
      </c>
      <c r="B84" t="str">
        <f>EMPLOYEEDATA!B86</f>
        <v>FEYI</v>
      </c>
      <c r="C84">
        <f>IF(AND(EMPLOYEEDATA!I86="BSC"),8,IF(AND(EMPLOYEEDATA!I86="HND"),7,IF(AND(EMPLOYEEDATA!I86="ND"),5,IF(AND(EMPLOYEEDATA!I86="NCE"),4,2))))</f>
        <v>8</v>
      </c>
      <c r="D84">
        <f>PRODUCT(EMPLOYEEDATA!J86,EMPLOYEEDATA!K86)</f>
        <v>48000</v>
      </c>
      <c r="E84">
        <f t="shared" si="8"/>
        <v>2400</v>
      </c>
      <c r="F84">
        <f>IF(AND(EMPLOYEEDATA!F86="OFF QUARTERS"),0.06*D84,0)</f>
        <v>0</v>
      </c>
      <c r="G84">
        <f t="shared" si="9"/>
        <v>4320</v>
      </c>
      <c r="H84">
        <f t="shared" si="10"/>
        <v>54720</v>
      </c>
      <c r="I84">
        <f t="shared" si="11"/>
        <v>3600</v>
      </c>
      <c r="J84">
        <f t="shared" si="12"/>
        <v>1440</v>
      </c>
      <c r="K84">
        <f t="shared" si="13"/>
        <v>3600</v>
      </c>
      <c r="L84">
        <f t="shared" si="14"/>
        <v>8640</v>
      </c>
      <c r="M84">
        <f t="shared" si="15"/>
        <v>46080</v>
      </c>
    </row>
    <row r="85" spans="1:13" x14ac:dyDescent="0.25">
      <c r="A85">
        <v>77</v>
      </c>
      <c r="B85" t="str">
        <f>EMPLOYEEDATA!B87</f>
        <v>STEFFY</v>
      </c>
      <c r="C85">
        <f>IF(AND(EMPLOYEEDATA!I87="BSC"),8,IF(AND(EMPLOYEEDATA!I87="HND"),7,IF(AND(EMPLOYEEDATA!I87="ND"),5,IF(AND(EMPLOYEEDATA!I87="NCE"),4,2))))</f>
        <v>8</v>
      </c>
      <c r="D85">
        <f>PRODUCT(EMPLOYEEDATA!J87,EMPLOYEEDATA!K87)</f>
        <v>48000</v>
      </c>
      <c r="E85">
        <f t="shared" si="8"/>
        <v>2400</v>
      </c>
      <c r="F85">
        <f>IF(AND(EMPLOYEEDATA!F87="OFF QUARTERS"),0.06*D85,0)</f>
        <v>0</v>
      </c>
      <c r="G85">
        <f t="shared" si="9"/>
        <v>4320</v>
      </c>
      <c r="H85">
        <f t="shared" si="10"/>
        <v>54720</v>
      </c>
      <c r="I85">
        <f t="shared" si="11"/>
        <v>3600</v>
      </c>
      <c r="J85">
        <f t="shared" si="12"/>
        <v>1440</v>
      </c>
      <c r="K85">
        <f t="shared" si="13"/>
        <v>3600</v>
      </c>
      <c r="L85">
        <f t="shared" si="14"/>
        <v>8640</v>
      </c>
      <c r="M85">
        <f t="shared" si="15"/>
        <v>46080</v>
      </c>
    </row>
    <row r="86" spans="1:13" x14ac:dyDescent="0.25">
      <c r="A86">
        <v>78</v>
      </c>
      <c r="B86" t="str">
        <f>EMPLOYEEDATA!B88</f>
        <v>LAMIDE</v>
      </c>
      <c r="C86">
        <f>IF(AND(EMPLOYEEDATA!I88="BSC"),8,IF(AND(EMPLOYEEDATA!I88="HND"),7,IF(AND(EMPLOYEEDATA!I88="ND"),5,IF(AND(EMPLOYEEDATA!I88="NCE"),4,2))))</f>
        <v>7</v>
      </c>
      <c r="D86">
        <f>PRODUCT(EMPLOYEEDATA!J88,EMPLOYEEDATA!K88)</f>
        <v>45000</v>
      </c>
      <c r="E86">
        <f t="shared" si="8"/>
        <v>2250</v>
      </c>
      <c r="F86">
        <f>IF(AND(EMPLOYEEDATA!F88="OFF QUARTERS"),0.06*D86,0)</f>
        <v>0</v>
      </c>
      <c r="G86">
        <f t="shared" si="9"/>
        <v>4050</v>
      </c>
      <c r="H86">
        <f t="shared" si="10"/>
        <v>51300</v>
      </c>
      <c r="I86">
        <f t="shared" si="11"/>
        <v>3375</v>
      </c>
      <c r="J86">
        <f t="shared" si="12"/>
        <v>1350</v>
      </c>
      <c r="K86">
        <f t="shared" si="13"/>
        <v>3375</v>
      </c>
      <c r="L86">
        <f t="shared" si="14"/>
        <v>8100</v>
      </c>
      <c r="M86">
        <f t="shared" si="15"/>
        <v>43200</v>
      </c>
    </row>
    <row r="87" spans="1:13" x14ac:dyDescent="0.25">
      <c r="A87">
        <v>79</v>
      </c>
      <c r="B87" t="str">
        <f>EMPLOYEEDATA!B89</f>
        <v>NIMI</v>
      </c>
      <c r="C87">
        <f>IF(AND(EMPLOYEEDATA!I89="BSC"),8,IF(AND(EMPLOYEEDATA!I89="HND"),7,IF(AND(EMPLOYEEDATA!I89="ND"),5,IF(AND(EMPLOYEEDATA!I89="NCE"),4,2))))</f>
        <v>8</v>
      </c>
      <c r="D87">
        <f>PRODUCT(EMPLOYEEDATA!J89,EMPLOYEEDATA!K89)</f>
        <v>48000</v>
      </c>
      <c r="E87">
        <f t="shared" si="8"/>
        <v>2400</v>
      </c>
      <c r="F87">
        <f>IF(AND(EMPLOYEEDATA!F89="OFF QUARTERS"),0.06*D87,0)</f>
        <v>2880</v>
      </c>
      <c r="G87">
        <f t="shared" si="9"/>
        <v>4320</v>
      </c>
      <c r="H87">
        <f t="shared" si="10"/>
        <v>57600</v>
      </c>
      <c r="I87">
        <f t="shared" si="11"/>
        <v>3600</v>
      </c>
      <c r="J87">
        <f t="shared" si="12"/>
        <v>1440</v>
      </c>
      <c r="K87">
        <f t="shared" si="13"/>
        <v>3600</v>
      </c>
      <c r="L87">
        <f t="shared" si="14"/>
        <v>8640</v>
      </c>
      <c r="M87">
        <f t="shared" si="15"/>
        <v>48960</v>
      </c>
    </row>
    <row r="88" spans="1:13" x14ac:dyDescent="0.25">
      <c r="A88">
        <v>80</v>
      </c>
      <c r="B88" t="str">
        <f>EMPLOYEEDATA!B90</f>
        <v>ALO</v>
      </c>
      <c r="C88">
        <f>IF(AND(EMPLOYEEDATA!I90="BSC"),8,IF(AND(EMPLOYEEDATA!I90="HND"),7,IF(AND(EMPLOYEEDATA!I90="ND"),5,IF(AND(EMPLOYEEDATA!I90="NCE"),4,2))))</f>
        <v>2</v>
      </c>
      <c r="D88">
        <f>PRODUCT(EMPLOYEEDATA!J90,EMPLOYEEDATA!K90)</f>
        <v>26400</v>
      </c>
      <c r="E88">
        <f t="shared" si="8"/>
        <v>1320</v>
      </c>
      <c r="F88">
        <f>IF(AND(EMPLOYEEDATA!F90="OFF QUARTERS"),0.06*D88,0)</f>
        <v>1584</v>
      </c>
      <c r="G88">
        <f t="shared" si="9"/>
        <v>2376</v>
      </c>
      <c r="H88">
        <f t="shared" si="10"/>
        <v>31680</v>
      </c>
      <c r="I88">
        <f t="shared" si="11"/>
        <v>1980</v>
      </c>
      <c r="J88">
        <f t="shared" si="12"/>
        <v>792</v>
      </c>
      <c r="K88">
        <f t="shared" si="13"/>
        <v>1980</v>
      </c>
      <c r="L88">
        <f t="shared" si="14"/>
        <v>4752</v>
      </c>
      <c r="M88">
        <f t="shared" si="15"/>
        <v>26928</v>
      </c>
    </row>
  </sheetData>
  <mergeCells count="2">
    <mergeCell ref="F1:P6"/>
    <mergeCell ref="E7:G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1C148-BD60-48C2-902E-186802F753C0}">
  <dimension ref="A1:O87"/>
  <sheetViews>
    <sheetView workbookViewId="0">
      <selection activeCell="F1" sqref="F1:O5"/>
    </sheetView>
  </sheetViews>
  <sheetFormatPr defaultRowHeight="15" x14ac:dyDescent="0.25"/>
  <cols>
    <col min="2" max="2" width="11.140625" bestFit="1" customWidth="1"/>
    <col min="5" max="5" width="16.7109375" bestFit="1" customWidth="1"/>
    <col min="6" max="6" width="20.28515625" bestFit="1" customWidth="1"/>
    <col min="7" max="7" width="13.42578125" bestFit="1" customWidth="1"/>
    <col min="8" max="8" width="11.5703125" bestFit="1" customWidth="1"/>
  </cols>
  <sheetData>
    <row r="1" spans="1:15" x14ac:dyDescent="0.25">
      <c r="F1" s="4" t="s">
        <v>0</v>
      </c>
      <c r="G1" s="5"/>
      <c r="H1" s="5"/>
      <c r="I1" s="5"/>
      <c r="J1" s="5"/>
      <c r="K1" s="5"/>
      <c r="L1" s="5"/>
      <c r="M1" s="5"/>
      <c r="N1" s="5"/>
      <c r="O1" s="5"/>
    </row>
    <row r="2" spans="1:15" x14ac:dyDescent="0.25"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x14ac:dyDescent="0.25"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x14ac:dyDescent="0.25"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x14ac:dyDescent="0.25">
      <c r="F5" s="5"/>
      <c r="G5" s="5"/>
      <c r="H5" s="5"/>
      <c r="I5" s="5"/>
      <c r="J5" s="5"/>
      <c r="K5" s="5"/>
      <c r="L5" s="5"/>
      <c r="M5" s="5"/>
      <c r="N5" s="5"/>
      <c r="O5" s="5"/>
    </row>
    <row r="7" spans="1:15" s="2" customFormat="1" x14ac:dyDescent="0.25">
      <c r="A7" s="2" t="s">
        <v>1</v>
      </c>
      <c r="B7" s="2" t="s">
        <v>2</v>
      </c>
      <c r="C7" s="2" t="s">
        <v>81</v>
      </c>
      <c r="D7" s="2" t="s">
        <v>92</v>
      </c>
      <c r="E7" s="2" t="s">
        <v>105</v>
      </c>
      <c r="F7" s="2" t="s">
        <v>91</v>
      </c>
      <c r="G7" s="2" t="s">
        <v>94</v>
      </c>
      <c r="H7" s="2" t="s">
        <v>104</v>
      </c>
    </row>
    <row r="8" spans="1:15" x14ac:dyDescent="0.25">
      <c r="A8">
        <v>1</v>
      </c>
      <c r="B8" t="str">
        <f>EMPLOYEEDATA!B11</f>
        <v>RUNSEWE</v>
      </c>
      <c r="C8" t="str">
        <f>EMPLOYEEDATA!C11</f>
        <v>FEMALE</v>
      </c>
      <c r="D8">
        <f>SALARY!C9</f>
        <v>4</v>
      </c>
      <c r="E8">
        <f>EMPLOYEEDATA!H11</f>
        <v>7</v>
      </c>
      <c r="F8">
        <f>EMPLOYEEDATA!J11</f>
        <v>23</v>
      </c>
      <c r="G8">
        <f>SALARY!D9</f>
        <v>26450</v>
      </c>
      <c r="H8">
        <f>SALARY!M9</f>
        <v>26979</v>
      </c>
    </row>
    <row r="9" spans="1:15" x14ac:dyDescent="0.25">
      <c r="A9">
        <v>2</v>
      </c>
      <c r="B9" t="str">
        <f>EMPLOYEEDATA!B12</f>
        <v>IFEOLUWA</v>
      </c>
      <c r="C9" t="str">
        <f>EMPLOYEEDATA!C12</f>
        <v>FEMALE</v>
      </c>
      <c r="D9">
        <f>SALARY!C10</f>
        <v>4</v>
      </c>
      <c r="E9">
        <f>EMPLOYEEDATA!H12</f>
        <v>2</v>
      </c>
      <c r="F9">
        <f>EMPLOYEEDATA!J12</f>
        <v>23</v>
      </c>
      <c r="G9">
        <f>SALARY!D10</f>
        <v>26450</v>
      </c>
      <c r="H9">
        <f>SALARY!M10</f>
        <v>26979</v>
      </c>
    </row>
    <row r="10" spans="1:15" x14ac:dyDescent="0.25">
      <c r="A10">
        <v>3</v>
      </c>
      <c r="B10" t="str">
        <f>EMPLOYEEDATA!B13</f>
        <v>RUTH</v>
      </c>
      <c r="C10" t="str">
        <f>EMPLOYEEDATA!C13</f>
        <v>FEMALE</v>
      </c>
      <c r="D10">
        <f>SALARY!C11</f>
        <v>2</v>
      </c>
      <c r="E10">
        <f>EMPLOYEEDATA!H13</f>
        <v>2</v>
      </c>
      <c r="F10">
        <f>EMPLOYEEDATA!J13</f>
        <v>24</v>
      </c>
      <c r="G10">
        <f>SALARY!D11</f>
        <v>26400</v>
      </c>
      <c r="H10">
        <f>SALARY!M11</f>
        <v>26928</v>
      </c>
    </row>
    <row r="11" spans="1:15" x14ac:dyDescent="0.25">
      <c r="A11">
        <v>4</v>
      </c>
      <c r="B11" t="str">
        <f>EMPLOYEEDATA!B14</f>
        <v>AYO</v>
      </c>
      <c r="C11" t="str">
        <f>EMPLOYEEDATA!C14</f>
        <v>FEMALE</v>
      </c>
      <c r="D11">
        <f>SALARY!C12</f>
        <v>5</v>
      </c>
      <c r="E11">
        <f>EMPLOYEEDATA!H14</f>
        <v>7</v>
      </c>
      <c r="F11">
        <f>EMPLOYEEDATA!J14</f>
        <v>22</v>
      </c>
      <c r="G11">
        <f>SALARY!D12</f>
        <v>30800</v>
      </c>
      <c r="H11">
        <f>SALARY!M12</f>
        <v>31416</v>
      </c>
    </row>
    <row r="12" spans="1:15" x14ac:dyDescent="0.25">
      <c r="A12">
        <v>5</v>
      </c>
      <c r="B12" t="str">
        <f>EMPLOYEEDATA!B15</f>
        <v>OLA</v>
      </c>
      <c r="C12" t="str">
        <f>EMPLOYEEDATA!C15</f>
        <v>MALE</v>
      </c>
      <c r="D12">
        <f>SALARY!C13</f>
        <v>8</v>
      </c>
      <c r="E12">
        <f>EMPLOYEEDATA!H15</f>
        <v>12</v>
      </c>
      <c r="F12">
        <f>EMPLOYEEDATA!J15</f>
        <v>15</v>
      </c>
      <c r="G12">
        <f>SALARY!D13</f>
        <v>48000</v>
      </c>
      <c r="H12">
        <f>SALARY!M13</f>
        <v>46080</v>
      </c>
    </row>
    <row r="13" spans="1:15" x14ac:dyDescent="0.25">
      <c r="A13">
        <v>6</v>
      </c>
      <c r="B13" t="str">
        <f>EMPLOYEEDATA!B16</f>
        <v>PONMILE</v>
      </c>
      <c r="C13" t="str">
        <f>EMPLOYEEDATA!C16</f>
        <v>MALE</v>
      </c>
      <c r="D13">
        <f>SALARY!C14</f>
        <v>8</v>
      </c>
      <c r="E13">
        <f>EMPLOYEEDATA!H16</f>
        <v>25</v>
      </c>
      <c r="F13">
        <f>EMPLOYEEDATA!J16</f>
        <v>15</v>
      </c>
      <c r="G13">
        <f>SALARY!D14</f>
        <v>48000</v>
      </c>
      <c r="H13">
        <f>SALARY!M14</f>
        <v>46080</v>
      </c>
    </row>
    <row r="14" spans="1:15" x14ac:dyDescent="0.25">
      <c r="A14">
        <v>7</v>
      </c>
      <c r="B14" t="str">
        <f>EMPLOYEEDATA!B17</f>
        <v>DEVINE</v>
      </c>
      <c r="C14" t="str">
        <f>EMPLOYEEDATA!C17</f>
        <v>FEMALE</v>
      </c>
      <c r="D14">
        <f>SALARY!C15</f>
        <v>8</v>
      </c>
      <c r="E14">
        <f>EMPLOYEEDATA!H17</f>
        <v>25</v>
      </c>
      <c r="F14">
        <f>EMPLOYEEDATA!J17</f>
        <v>15</v>
      </c>
      <c r="G14">
        <f>SALARY!D15</f>
        <v>48000</v>
      </c>
      <c r="H14">
        <f>SALARY!M15</f>
        <v>46080</v>
      </c>
    </row>
    <row r="15" spans="1:15" x14ac:dyDescent="0.25">
      <c r="A15">
        <v>8</v>
      </c>
      <c r="B15" t="str">
        <f>EMPLOYEEDATA!B18</f>
        <v>IMISI</v>
      </c>
      <c r="C15" t="str">
        <f>EMPLOYEEDATA!C18</f>
        <v>FEMALE</v>
      </c>
      <c r="D15">
        <f>SALARY!C16</f>
        <v>7</v>
      </c>
      <c r="E15">
        <f>EMPLOYEEDATA!H18</f>
        <v>12</v>
      </c>
      <c r="F15">
        <f>EMPLOYEEDATA!J18</f>
        <v>20</v>
      </c>
      <c r="G15">
        <f>SALARY!D16</f>
        <v>45000</v>
      </c>
      <c r="H15">
        <f>SALARY!M16</f>
        <v>43200</v>
      </c>
    </row>
    <row r="16" spans="1:15" x14ac:dyDescent="0.25">
      <c r="A16">
        <v>9</v>
      </c>
      <c r="B16" t="str">
        <f>EMPLOYEEDATA!B19</f>
        <v>JAMES</v>
      </c>
      <c r="C16" t="str">
        <f>EMPLOYEEDATA!C19</f>
        <v>MALE</v>
      </c>
      <c r="D16">
        <f>SALARY!C17</f>
        <v>4</v>
      </c>
      <c r="E16">
        <f>EMPLOYEEDATA!H19</f>
        <v>2</v>
      </c>
      <c r="F16">
        <f>EMPLOYEEDATA!J19</f>
        <v>23</v>
      </c>
      <c r="G16">
        <f>SALARY!D17</f>
        <v>26450</v>
      </c>
      <c r="H16">
        <f>SALARY!M17</f>
        <v>26979</v>
      </c>
    </row>
    <row r="17" spans="1:8" x14ac:dyDescent="0.25">
      <c r="A17">
        <v>10</v>
      </c>
      <c r="B17" t="str">
        <f>EMPLOYEEDATA!B20</f>
        <v>KENNY</v>
      </c>
      <c r="C17" t="str">
        <f>EMPLOYEEDATA!C20</f>
        <v>MALE</v>
      </c>
      <c r="D17">
        <f>SALARY!C18</f>
        <v>2</v>
      </c>
      <c r="E17">
        <f>EMPLOYEEDATA!H20</f>
        <v>2</v>
      </c>
      <c r="F17">
        <f>EMPLOYEEDATA!J20</f>
        <v>24</v>
      </c>
      <c r="G17">
        <f>SALARY!D18</f>
        <v>26400</v>
      </c>
      <c r="H17">
        <f>SALARY!M18</f>
        <v>26928</v>
      </c>
    </row>
    <row r="18" spans="1:8" x14ac:dyDescent="0.25">
      <c r="A18">
        <v>11</v>
      </c>
      <c r="B18" t="str">
        <f>EMPLOYEEDATA!B21</f>
        <v>FAITH</v>
      </c>
      <c r="C18" t="str">
        <f>EMPLOYEEDATA!C21</f>
        <v>FEMALE</v>
      </c>
      <c r="D18">
        <f>SALARY!C19</f>
        <v>8</v>
      </c>
      <c r="E18">
        <f>EMPLOYEEDATA!H21</f>
        <v>12</v>
      </c>
      <c r="F18">
        <f>EMPLOYEEDATA!J21</f>
        <v>15</v>
      </c>
      <c r="G18">
        <f>SALARY!D19</f>
        <v>48000</v>
      </c>
      <c r="H18">
        <f>SALARY!M19</f>
        <v>46080</v>
      </c>
    </row>
    <row r="19" spans="1:8" x14ac:dyDescent="0.25">
      <c r="A19">
        <v>12</v>
      </c>
      <c r="B19" t="str">
        <f>EMPLOYEEDATA!B22</f>
        <v>SEGUN</v>
      </c>
      <c r="C19" t="str">
        <f>EMPLOYEEDATA!C22</f>
        <v>MALE</v>
      </c>
      <c r="D19">
        <f>SALARY!C20</f>
        <v>5</v>
      </c>
      <c r="E19">
        <f>EMPLOYEEDATA!H22</f>
        <v>7</v>
      </c>
      <c r="F19">
        <f>EMPLOYEEDATA!J22</f>
        <v>22</v>
      </c>
      <c r="G19">
        <f>SALARY!D20</f>
        <v>30800</v>
      </c>
      <c r="H19">
        <f>SALARY!M20</f>
        <v>31416</v>
      </c>
    </row>
    <row r="20" spans="1:8" x14ac:dyDescent="0.25">
      <c r="A20">
        <v>13</v>
      </c>
      <c r="B20" t="str">
        <f>EMPLOYEEDATA!B23</f>
        <v>TAIWO</v>
      </c>
      <c r="C20" t="str">
        <f>EMPLOYEEDATA!C23</f>
        <v>MALE</v>
      </c>
      <c r="D20">
        <f>SALARY!C21</f>
        <v>8</v>
      </c>
      <c r="E20">
        <f>EMPLOYEEDATA!H23</f>
        <v>7</v>
      </c>
      <c r="F20">
        <f>EMPLOYEEDATA!J23</f>
        <v>15</v>
      </c>
      <c r="G20">
        <f>SALARY!D21</f>
        <v>48000</v>
      </c>
      <c r="H20">
        <f>SALARY!M21</f>
        <v>48960</v>
      </c>
    </row>
    <row r="21" spans="1:8" x14ac:dyDescent="0.25">
      <c r="A21">
        <v>14</v>
      </c>
      <c r="B21" t="str">
        <f>EMPLOYEEDATA!B24</f>
        <v>JUMOKE</v>
      </c>
      <c r="C21" t="str">
        <f>EMPLOYEEDATA!C24</f>
        <v>FEMALE</v>
      </c>
      <c r="D21">
        <f>SALARY!C22</f>
        <v>2</v>
      </c>
      <c r="E21">
        <f>EMPLOYEEDATA!H24</f>
        <v>2</v>
      </c>
      <c r="F21">
        <f>EMPLOYEEDATA!J24</f>
        <v>24</v>
      </c>
      <c r="G21">
        <f>SALARY!D22</f>
        <v>26400</v>
      </c>
      <c r="H21">
        <f>SALARY!M22</f>
        <v>26928</v>
      </c>
    </row>
    <row r="22" spans="1:8" x14ac:dyDescent="0.25">
      <c r="A22">
        <v>15</v>
      </c>
      <c r="B22" t="str">
        <f>EMPLOYEEDATA!B25</f>
        <v>ISAAC</v>
      </c>
      <c r="C22" t="str">
        <f>EMPLOYEEDATA!C25</f>
        <v>MALE</v>
      </c>
      <c r="D22">
        <f>SALARY!C23</f>
        <v>8</v>
      </c>
      <c r="E22">
        <f>EMPLOYEEDATA!H25</f>
        <v>12</v>
      </c>
      <c r="F22">
        <f>EMPLOYEEDATA!J25</f>
        <v>15</v>
      </c>
      <c r="G22">
        <f>SALARY!D23</f>
        <v>48000</v>
      </c>
      <c r="H22">
        <f>SALARY!M23</f>
        <v>48960</v>
      </c>
    </row>
    <row r="23" spans="1:8" x14ac:dyDescent="0.25">
      <c r="A23">
        <v>16</v>
      </c>
      <c r="B23" t="str">
        <f>EMPLOYEEDATA!B26</f>
        <v>ISREAL</v>
      </c>
      <c r="C23" t="str">
        <f>EMPLOYEEDATA!C26</f>
        <v>MALE</v>
      </c>
      <c r="D23">
        <f>SALARY!C24</f>
        <v>8</v>
      </c>
      <c r="E23">
        <f>EMPLOYEEDATA!H26</f>
        <v>12</v>
      </c>
      <c r="F23">
        <f>EMPLOYEEDATA!J26</f>
        <v>15</v>
      </c>
      <c r="G23">
        <f>SALARY!D24</f>
        <v>48000</v>
      </c>
      <c r="H23">
        <f>SALARY!M24</f>
        <v>48960</v>
      </c>
    </row>
    <row r="24" spans="1:8" x14ac:dyDescent="0.25">
      <c r="A24">
        <v>17</v>
      </c>
      <c r="B24" t="str">
        <f>EMPLOYEEDATA!B27</f>
        <v>PEACE</v>
      </c>
      <c r="C24" t="str">
        <f>EMPLOYEEDATA!C27</f>
        <v>FEMALE</v>
      </c>
      <c r="D24">
        <f>SALARY!C25</f>
        <v>7</v>
      </c>
      <c r="E24">
        <f>EMPLOYEEDATA!H27</f>
        <v>12</v>
      </c>
      <c r="F24">
        <f>EMPLOYEEDATA!J27</f>
        <v>20</v>
      </c>
      <c r="G24">
        <f>SALARY!D25</f>
        <v>45000</v>
      </c>
      <c r="H24">
        <f>SALARY!M25</f>
        <v>43200</v>
      </c>
    </row>
    <row r="25" spans="1:8" x14ac:dyDescent="0.25">
      <c r="A25">
        <v>18</v>
      </c>
      <c r="B25" t="str">
        <f>EMPLOYEEDATA!B28</f>
        <v>ROSE</v>
      </c>
      <c r="C25" t="str">
        <f>EMPLOYEEDATA!C28</f>
        <v>FEMALE</v>
      </c>
      <c r="D25">
        <f>SALARY!C26</f>
        <v>2</v>
      </c>
      <c r="E25">
        <f>EMPLOYEEDATA!H28</f>
        <v>2</v>
      </c>
      <c r="F25">
        <f>EMPLOYEEDATA!J28</f>
        <v>24</v>
      </c>
      <c r="G25">
        <f>SALARY!D26</f>
        <v>26400</v>
      </c>
      <c r="H25">
        <f>SALARY!M26</f>
        <v>26928</v>
      </c>
    </row>
    <row r="26" spans="1:8" x14ac:dyDescent="0.25">
      <c r="A26">
        <v>19</v>
      </c>
      <c r="B26" t="str">
        <f>EMPLOYEEDATA!B29</f>
        <v>DELIGHT</v>
      </c>
      <c r="C26" t="str">
        <f>EMPLOYEEDATA!C29</f>
        <v>FEMALE</v>
      </c>
      <c r="D26">
        <f>SALARY!C27</f>
        <v>8</v>
      </c>
      <c r="E26">
        <f>EMPLOYEEDATA!H29</f>
        <v>25</v>
      </c>
      <c r="F26">
        <f>EMPLOYEEDATA!J29</f>
        <v>15</v>
      </c>
      <c r="G26">
        <f>SALARY!D27</f>
        <v>48000</v>
      </c>
      <c r="H26">
        <f>SALARY!M27</f>
        <v>46080</v>
      </c>
    </row>
    <row r="27" spans="1:8" x14ac:dyDescent="0.25">
      <c r="A27">
        <v>20</v>
      </c>
      <c r="B27" t="str">
        <f>EMPLOYEEDATA!B30</f>
        <v>KELVIN</v>
      </c>
      <c r="C27" t="str">
        <f>EMPLOYEEDATA!C30</f>
        <v>MALE</v>
      </c>
      <c r="D27">
        <f>SALARY!C28</f>
        <v>8</v>
      </c>
      <c r="E27">
        <f>EMPLOYEEDATA!H30</f>
        <v>25</v>
      </c>
      <c r="F27">
        <f>EMPLOYEEDATA!J30</f>
        <v>15</v>
      </c>
      <c r="G27">
        <f>SALARY!D28</f>
        <v>48000</v>
      </c>
      <c r="H27">
        <f>SALARY!M28</f>
        <v>46080</v>
      </c>
    </row>
    <row r="28" spans="1:8" x14ac:dyDescent="0.25">
      <c r="A28">
        <v>21</v>
      </c>
      <c r="B28" t="str">
        <f>EMPLOYEEDATA!B31</f>
        <v>JEDIDAH</v>
      </c>
      <c r="C28" t="str">
        <f>EMPLOYEEDATA!C31</f>
        <v>MALE</v>
      </c>
      <c r="D28">
        <f>SALARY!C29</f>
        <v>8</v>
      </c>
      <c r="E28">
        <f>EMPLOYEEDATA!H31</f>
        <v>25</v>
      </c>
      <c r="F28">
        <f>EMPLOYEEDATA!J31</f>
        <v>15</v>
      </c>
      <c r="G28">
        <f>SALARY!D29</f>
        <v>48000</v>
      </c>
      <c r="H28">
        <f>SALARY!M29</f>
        <v>46080</v>
      </c>
    </row>
    <row r="29" spans="1:8" x14ac:dyDescent="0.25">
      <c r="A29">
        <v>22</v>
      </c>
      <c r="B29" t="str">
        <f>EMPLOYEEDATA!B32</f>
        <v>DANIEL</v>
      </c>
      <c r="C29" t="str">
        <f>EMPLOYEEDATA!C32</f>
        <v>MALE</v>
      </c>
      <c r="D29">
        <f>SALARY!C30</f>
        <v>8</v>
      </c>
      <c r="E29">
        <f>EMPLOYEEDATA!H32</f>
        <v>25</v>
      </c>
      <c r="F29">
        <f>EMPLOYEEDATA!J32</f>
        <v>15</v>
      </c>
      <c r="G29">
        <f>SALARY!D30</f>
        <v>48000</v>
      </c>
      <c r="H29">
        <f>SALARY!M30</f>
        <v>46080</v>
      </c>
    </row>
    <row r="30" spans="1:8" x14ac:dyDescent="0.25">
      <c r="A30">
        <v>23</v>
      </c>
      <c r="B30" t="str">
        <f>EMPLOYEEDATA!B33</f>
        <v>MASON</v>
      </c>
      <c r="C30" t="str">
        <f>EMPLOYEEDATA!C33</f>
        <v>MALE</v>
      </c>
      <c r="D30">
        <f>SALARY!C31</f>
        <v>8</v>
      </c>
      <c r="E30">
        <f>EMPLOYEEDATA!H33</f>
        <v>25</v>
      </c>
      <c r="F30">
        <f>EMPLOYEEDATA!J33</f>
        <v>15</v>
      </c>
      <c r="G30">
        <f>SALARY!D31</f>
        <v>48000</v>
      </c>
      <c r="H30">
        <f>SALARY!M31</f>
        <v>46080</v>
      </c>
    </row>
    <row r="31" spans="1:8" x14ac:dyDescent="0.25">
      <c r="A31">
        <v>24</v>
      </c>
      <c r="B31" t="str">
        <f>EMPLOYEEDATA!B34</f>
        <v>TOMINWA</v>
      </c>
      <c r="C31" t="str">
        <f>EMPLOYEEDATA!C34</f>
        <v>MALE</v>
      </c>
      <c r="D31">
        <f>SALARY!C32</f>
        <v>8</v>
      </c>
      <c r="E31">
        <f>EMPLOYEEDATA!H34</f>
        <v>25</v>
      </c>
      <c r="F31">
        <f>EMPLOYEEDATA!J34</f>
        <v>15</v>
      </c>
      <c r="G31">
        <f>SALARY!D32</f>
        <v>48000</v>
      </c>
      <c r="H31">
        <f>SALARY!M32</f>
        <v>46080</v>
      </c>
    </row>
    <row r="32" spans="1:8" x14ac:dyDescent="0.25">
      <c r="A32">
        <v>25</v>
      </c>
      <c r="B32" t="str">
        <f>EMPLOYEEDATA!B35</f>
        <v>GIFT</v>
      </c>
      <c r="C32" t="str">
        <f>EMPLOYEEDATA!C35</f>
        <v>FEMALE</v>
      </c>
      <c r="D32">
        <f>SALARY!C33</f>
        <v>8</v>
      </c>
      <c r="E32">
        <f>EMPLOYEEDATA!H35</f>
        <v>25</v>
      </c>
      <c r="F32">
        <f>EMPLOYEEDATA!J35</f>
        <v>15</v>
      </c>
      <c r="G32">
        <f>SALARY!D33</f>
        <v>48000</v>
      </c>
      <c r="H32">
        <f>SALARY!M33</f>
        <v>46080</v>
      </c>
    </row>
    <row r="33" spans="1:8" x14ac:dyDescent="0.25">
      <c r="A33">
        <v>26</v>
      </c>
      <c r="B33" t="str">
        <f>EMPLOYEEDATA!B36</f>
        <v>FAUSAT</v>
      </c>
      <c r="C33" t="str">
        <f>EMPLOYEEDATA!C36</f>
        <v>FEMALE</v>
      </c>
      <c r="D33">
        <f>SALARY!C34</f>
        <v>8</v>
      </c>
      <c r="E33">
        <f>EMPLOYEEDATA!H36</f>
        <v>25</v>
      </c>
      <c r="F33">
        <f>EMPLOYEEDATA!J36</f>
        <v>15</v>
      </c>
      <c r="G33">
        <f>SALARY!D34</f>
        <v>48000</v>
      </c>
      <c r="H33">
        <f>SALARY!M34</f>
        <v>46080</v>
      </c>
    </row>
    <row r="34" spans="1:8" x14ac:dyDescent="0.25">
      <c r="A34">
        <v>27</v>
      </c>
      <c r="B34" t="str">
        <f>EMPLOYEEDATA!B37</f>
        <v>TOYOSI</v>
      </c>
      <c r="C34" t="str">
        <f>EMPLOYEEDATA!C37</f>
        <v>FEMALE</v>
      </c>
      <c r="D34">
        <f>SALARY!C35</f>
        <v>8</v>
      </c>
      <c r="E34">
        <f>EMPLOYEEDATA!H37</f>
        <v>12</v>
      </c>
      <c r="F34">
        <f>EMPLOYEEDATA!J37</f>
        <v>15</v>
      </c>
      <c r="G34">
        <f>SALARY!D35</f>
        <v>48000</v>
      </c>
      <c r="H34">
        <f>SALARY!M35</f>
        <v>46080</v>
      </c>
    </row>
    <row r="35" spans="1:8" x14ac:dyDescent="0.25">
      <c r="A35">
        <v>28</v>
      </c>
      <c r="B35" t="str">
        <f>EMPLOYEEDATA!B38</f>
        <v>MOTUN</v>
      </c>
      <c r="C35" t="str">
        <f>EMPLOYEEDATA!C38</f>
        <v>FEMALE</v>
      </c>
      <c r="D35">
        <f>SALARY!C36</f>
        <v>8</v>
      </c>
      <c r="E35">
        <f>EMPLOYEEDATA!H38</f>
        <v>25</v>
      </c>
      <c r="F35">
        <f>EMPLOYEEDATA!J38</f>
        <v>15</v>
      </c>
      <c r="G35">
        <f>SALARY!D36</f>
        <v>48000</v>
      </c>
      <c r="H35">
        <f>SALARY!M36</f>
        <v>46080</v>
      </c>
    </row>
    <row r="36" spans="1:8" x14ac:dyDescent="0.25">
      <c r="A36">
        <v>29</v>
      </c>
      <c r="B36" t="str">
        <f>EMPLOYEEDATA!B39</f>
        <v>MOYIN</v>
      </c>
      <c r="C36" t="str">
        <f>EMPLOYEEDATA!C39</f>
        <v>MALE</v>
      </c>
      <c r="D36">
        <f>SALARY!C37</f>
        <v>8</v>
      </c>
      <c r="E36">
        <f>EMPLOYEEDATA!H39</f>
        <v>25</v>
      </c>
      <c r="F36">
        <f>EMPLOYEEDATA!J39</f>
        <v>15</v>
      </c>
      <c r="G36">
        <f>SALARY!D37</f>
        <v>48000</v>
      </c>
      <c r="H36">
        <f>SALARY!M37</f>
        <v>46080</v>
      </c>
    </row>
    <row r="37" spans="1:8" x14ac:dyDescent="0.25">
      <c r="A37">
        <v>30</v>
      </c>
      <c r="B37" t="str">
        <f>EMPLOYEEDATA!B40</f>
        <v>ODUN</v>
      </c>
      <c r="C37" t="str">
        <f>EMPLOYEEDATA!C40</f>
        <v>MALE</v>
      </c>
      <c r="D37">
        <f>SALARY!C38</f>
        <v>7</v>
      </c>
      <c r="E37">
        <f>EMPLOYEEDATA!H40</f>
        <v>12</v>
      </c>
      <c r="F37">
        <f>EMPLOYEEDATA!J40</f>
        <v>20</v>
      </c>
      <c r="G37">
        <f>SALARY!D38</f>
        <v>45000</v>
      </c>
      <c r="H37">
        <f>SALARY!M38</f>
        <v>43200</v>
      </c>
    </row>
    <row r="38" spans="1:8" x14ac:dyDescent="0.25">
      <c r="A38">
        <v>31</v>
      </c>
      <c r="B38" t="str">
        <f>EMPLOYEEDATA!B41</f>
        <v>YOYIN</v>
      </c>
      <c r="C38" t="str">
        <f>EMPLOYEEDATA!C41</f>
        <v>FEMALE</v>
      </c>
      <c r="D38">
        <f>SALARY!C39</f>
        <v>2</v>
      </c>
      <c r="E38">
        <f>EMPLOYEEDATA!H41</f>
        <v>2</v>
      </c>
      <c r="F38">
        <f>EMPLOYEEDATA!J41</f>
        <v>24</v>
      </c>
      <c r="G38">
        <f>SALARY!D39</f>
        <v>26400</v>
      </c>
      <c r="H38">
        <f>SALARY!M39</f>
        <v>26928</v>
      </c>
    </row>
    <row r="39" spans="1:8" x14ac:dyDescent="0.25">
      <c r="A39">
        <v>32</v>
      </c>
      <c r="B39" t="str">
        <f>EMPLOYEEDATA!B42</f>
        <v>OYIN</v>
      </c>
      <c r="C39" t="str">
        <f>EMPLOYEEDATA!C42</f>
        <v>FEMALE</v>
      </c>
      <c r="D39">
        <f>SALARY!C40</f>
        <v>8</v>
      </c>
      <c r="E39">
        <f>EMPLOYEEDATA!H42</f>
        <v>25</v>
      </c>
      <c r="F39">
        <f>EMPLOYEEDATA!J42</f>
        <v>15</v>
      </c>
      <c r="G39">
        <f>SALARY!D40</f>
        <v>48000</v>
      </c>
      <c r="H39">
        <f>SALARY!M40</f>
        <v>46080</v>
      </c>
    </row>
    <row r="40" spans="1:8" x14ac:dyDescent="0.25">
      <c r="A40">
        <v>33</v>
      </c>
      <c r="B40" t="str">
        <f>EMPLOYEEDATA!B43</f>
        <v>SOLA</v>
      </c>
      <c r="C40" t="str">
        <f>EMPLOYEEDATA!C43</f>
        <v>FEMALE</v>
      </c>
      <c r="D40">
        <f>SALARY!C41</f>
        <v>8</v>
      </c>
      <c r="E40">
        <f>EMPLOYEEDATA!H43</f>
        <v>12</v>
      </c>
      <c r="F40">
        <f>EMPLOYEEDATA!J43</f>
        <v>15</v>
      </c>
      <c r="G40">
        <f>SALARY!D41</f>
        <v>48000</v>
      </c>
      <c r="H40">
        <f>SALARY!M41</f>
        <v>46080</v>
      </c>
    </row>
    <row r="41" spans="1:8" x14ac:dyDescent="0.25">
      <c r="A41">
        <v>34</v>
      </c>
      <c r="B41" t="str">
        <f>EMPLOYEEDATA!B44</f>
        <v>EMMA</v>
      </c>
      <c r="C41" t="str">
        <f>EMPLOYEEDATA!C44</f>
        <v>MALE</v>
      </c>
      <c r="D41">
        <f>SALARY!C42</f>
        <v>5</v>
      </c>
      <c r="E41">
        <f>EMPLOYEEDATA!H44</f>
        <v>7</v>
      </c>
      <c r="F41">
        <f>EMPLOYEEDATA!J44</f>
        <v>22</v>
      </c>
      <c r="G41">
        <f>SALARY!D42</f>
        <v>30800</v>
      </c>
      <c r="H41">
        <f>SALARY!M42</f>
        <v>31416</v>
      </c>
    </row>
    <row r="42" spans="1:8" x14ac:dyDescent="0.25">
      <c r="A42">
        <v>35</v>
      </c>
      <c r="B42" t="str">
        <f>EMPLOYEEDATA!B45</f>
        <v>SAM</v>
      </c>
      <c r="C42" t="str">
        <f>EMPLOYEEDATA!C45</f>
        <v>MALE</v>
      </c>
      <c r="D42">
        <f>SALARY!C43</f>
        <v>4</v>
      </c>
      <c r="E42">
        <f>EMPLOYEEDATA!H45</f>
        <v>2</v>
      </c>
      <c r="F42">
        <f>EMPLOYEEDATA!J45</f>
        <v>23</v>
      </c>
      <c r="G42">
        <f>SALARY!D43</f>
        <v>26450</v>
      </c>
      <c r="H42">
        <f>SALARY!M43</f>
        <v>26979</v>
      </c>
    </row>
    <row r="43" spans="1:8" x14ac:dyDescent="0.25">
      <c r="A43">
        <v>36</v>
      </c>
      <c r="B43" t="str">
        <f>EMPLOYEEDATA!B46</f>
        <v>SEUN</v>
      </c>
      <c r="C43" t="str">
        <f>EMPLOYEEDATA!C46</f>
        <v>MALE</v>
      </c>
      <c r="D43">
        <f>SALARY!C44</f>
        <v>4</v>
      </c>
      <c r="E43">
        <f>EMPLOYEEDATA!H46</f>
        <v>2</v>
      </c>
      <c r="F43">
        <f>EMPLOYEEDATA!J46</f>
        <v>23</v>
      </c>
      <c r="G43">
        <f>SALARY!D44</f>
        <v>26450</v>
      </c>
      <c r="H43">
        <f>SALARY!M44</f>
        <v>26979</v>
      </c>
    </row>
    <row r="44" spans="1:8" x14ac:dyDescent="0.25">
      <c r="A44">
        <v>37</v>
      </c>
      <c r="B44" t="str">
        <f>EMPLOYEEDATA!B47</f>
        <v>JOSEPH</v>
      </c>
      <c r="C44" t="str">
        <f>EMPLOYEEDATA!C47</f>
        <v>MALE</v>
      </c>
      <c r="D44">
        <f>SALARY!C45</f>
        <v>8</v>
      </c>
      <c r="E44">
        <f>EMPLOYEEDATA!H47</f>
        <v>7</v>
      </c>
      <c r="F44">
        <f>EMPLOYEEDATA!J47</f>
        <v>15</v>
      </c>
      <c r="G44">
        <f>SALARY!D45</f>
        <v>48000</v>
      </c>
      <c r="H44">
        <f>SALARY!M45</f>
        <v>48960</v>
      </c>
    </row>
    <row r="45" spans="1:8" x14ac:dyDescent="0.25">
      <c r="A45">
        <v>38</v>
      </c>
      <c r="B45" t="str">
        <f>EMPLOYEEDATA!B48</f>
        <v>USMAN</v>
      </c>
      <c r="C45" t="str">
        <f>EMPLOYEEDATA!C48</f>
        <v>MALE</v>
      </c>
      <c r="D45">
        <f>SALARY!C46</f>
        <v>8</v>
      </c>
      <c r="E45">
        <f>EMPLOYEEDATA!H48</f>
        <v>12</v>
      </c>
      <c r="F45">
        <f>EMPLOYEEDATA!J48</f>
        <v>15</v>
      </c>
      <c r="G45">
        <f>SALARY!D46</f>
        <v>48000</v>
      </c>
      <c r="H45">
        <f>SALARY!M46</f>
        <v>48960</v>
      </c>
    </row>
    <row r="46" spans="1:8" x14ac:dyDescent="0.25">
      <c r="A46">
        <v>39</v>
      </c>
      <c r="B46" t="str">
        <f>EMPLOYEEDATA!B49</f>
        <v>JAMAL</v>
      </c>
      <c r="C46" t="str">
        <f>EMPLOYEEDATA!C49</f>
        <v>MALE</v>
      </c>
      <c r="D46">
        <f>SALARY!C47</f>
        <v>8</v>
      </c>
      <c r="E46">
        <f>EMPLOYEEDATA!H49</f>
        <v>25</v>
      </c>
      <c r="F46">
        <f>EMPLOYEEDATA!J49</f>
        <v>15</v>
      </c>
      <c r="G46">
        <f>SALARY!D47</f>
        <v>48000</v>
      </c>
      <c r="H46">
        <f>SALARY!M47</f>
        <v>46080</v>
      </c>
    </row>
    <row r="47" spans="1:8" x14ac:dyDescent="0.25">
      <c r="A47">
        <v>40</v>
      </c>
      <c r="B47" t="str">
        <f>EMPLOYEEDATA!B50</f>
        <v>TOSIN</v>
      </c>
      <c r="C47" t="str">
        <f>EMPLOYEEDATA!C50</f>
        <v>MALE</v>
      </c>
      <c r="D47">
        <f>SALARY!C48</f>
        <v>8</v>
      </c>
      <c r="E47">
        <f>EMPLOYEEDATA!H50</f>
        <v>25</v>
      </c>
      <c r="F47">
        <f>EMPLOYEEDATA!J50</f>
        <v>15</v>
      </c>
      <c r="G47">
        <f>SALARY!D48</f>
        <v>48000</v>
      </c>
      <c r="H47">
        <f>SALARY!M48</f>
        <v>46080</v>
      </c>
    </row>
    <row r="48" spans="1:8" x14ac:dyDescent="0.25">
      <c r="A48">
        <v>41</v>
      </c>
      <c r="B48" t="str">
        <f>EMPLOYEEDATA!B51</f>
        <v>PELUMI</v>
      </c>
      <c r="C48" t="str">
        <f>EMPLOYEEDATA!C51</f>
        <v>FEMALE</v>
      </c>
      <c r="D48">
        <f>SALARY!C49</f>
        <v>7</v>
      </c>
      <c r="E48">
        <f>EMPLOYEEDATA!H51</f>
        <v>12</v>
      </c>
      <c r="F48">
        <f>EMPLOYEEDATA!J51</f>
        <v>20</v>
      </c>
      <c r="G48">
        <f>SALARY!D49</f>
        <v>45000</v>
      </c>
      <c r="H48">
        <f>SALARY!M49</f>
        <v>43200</v>
      </c>
    </row>
    <row r="49" spans="1:8" x14ac:dyDescent="0.25">
      <c r="A49">
        <v>42</v>
      </c>
      <c r="B49" t="str">
        <f>EMPLOYEEDATA!B52</f>
        <v>FERANMI</v>
      </c>
      <c r="C49" t="str">
        <f>EMPLOYEEDATA!C52</f>
        <v>FEMALE</v>
      </c>
      <c r="D49">
        <f>SALARY!C50</f>
        <v>8</v>
      </c>
      <c r="E49">
        <f>EMPLOYEEDATA!H52</f>
        <v>12</v>
      </c>
      <c r="F49">
        <f>EMPLOYEEDATA!J52</f>
        <v>15</v>
      </c>
      <c r="G49">
        <f>SALARY!D50</f>
        <v>48000</v>
      </c>
      <c r="H49">
        <f>SALARY!M50</f>
        <v>48960</v>
      </c>
    </row>
    <row r="50" spans="1:8" x14ac:dyDescent="0.25">
      <c r="A50">
        <v>43</v>
      </c>
      <c r="B50" t="str">
        <f>EMPLOYEEDATA!B53</f>
        <v>MARVY</v>
      </c>
      <c r="C50" t="str">
        <f>EMPLOYEEDATA!C53</f>
        <v>FEMALE</v>
      </c>
      <c r="D50">
        <f>SALARY!C51</f>
        <v>2</v>
      </c>
      <c r="E50">
        <f>EMPLOYEEDATA!H53</f>
        <v>2</v>
      </c>
      <c r="F50">
        <f>EMPLOYEEDATA!J53</f>
        <v>24</v>
      </c>
      <c r="G50">
        <f>SALARY!D51</f>
        <v>26400</v>
      </c>
      <c r="H50">
        <f>SALARY!M51</f>
        <v>26928</v>
      </c>
    </row>
    <row r="51" spans="1:8" x14ac:dyDescent="0.25">
      <c r="A51">
        <v>44</v>
      </c>
      <c r="B51" t="str">
        <f>EMPLOYEEDATA!B54</f>
        <v>FAVOUR</v>
      </c>
      <c r="C51" t="str">
        <f>EMPLOYEEDATA!C54</f>
        <v>FEMALE</v>
      </c>
      <c r="D51">
        <f>SALARY!C52</f>
        <v>8</v>
      </c>
      <c r="E51">
        <f>EMPLOYEEDATA!H54</f>
        <v>12</v>
      </c>
      <c r="F51">
        <f>EMPLOYEEDATA!J54</f>
        <v>15</v>
      </c>
      <c r="G51">
        <f>SALARY!D52</f>
        <v>48000</v>
      </c>
      <c r="H51">
        <f>SALARY!M52</f>
        <v>46080</v>
      </c>
    </row>
    <row r="52" spans="1:8" x14ac:dyDescent="0.25">
      <c r="A52">
        <v>45</v>
      </c>
      <c r="B52" t="str">
        <f>EMPLOYEEDATA!B55</f>
        <v>LOLA</v>
      </c>
      <c r="C52" t="str">
        <f>EMPLOYEEDATA!C55</f>
        <v>FEMALE</v>
      </c>
      <c r="D52">
        <f>SALARY!C53</f>
        <v>8</v>
      </c>
      <c r="E52">
        <f>EMPLOYEEDATA!H55</f>
        <v>25</v>
      </c>
      <c r="F52">
        <f>EMPLOYEEDATA!J55</f>
        <v>15</v>
      </c>
      <c r="G52">
        <f>SALARY!D53</f>
        <v>48000</v>
      </c>
      <c r="H52">
        <f>SALARY!M53</f>
        <v>46080</v>
      </c>
    </row>
    <row r="53" spans="1:8" x14ac:dyDescent="0.25">
      <c r="A53">
        <v>46</v>
      </c>
      <c r="B53" t="str">
        <f>EMPLOYEEDATA!B56</f>
        <v>DAMI</v>
      </c>
      <c r="C53" t="str">
        <f>EMPLOYEEDATA!C56</f>
        <v>FEMALE</v>
      </c>
      <c r="D53">
        <f>SALARY!C54</f>
        <v>5</v>
      </c>
      <c r="E53">
        <f>EMPLOYEEDATA!H56</f>
        <v>7</v>
      </c>
      <c r="F53">
        <f>EMPLOYEEDATA!J56</f>
        <v>22</v>
      </c>
      <c r="G53">
        <f>SALARY!D54</f>
        <v>30800</v>
      </c>
      <c r="H53">
        <f>SALARY!M54</f>
        <v>31416</v>
      </c>
    </row>
    <row r="54" spans="1:8" x14ac:dyDescent="0.25">
      <c r="A54">
        <v>47</v>
      </c>
      <c r="B54" t="str">
        <f>EMPLOYEEDATA!B57</f>
        <v>TOMI</v>
      </c>
      <c r="C54" t="str">
        <f>EMPLOYEEDATA!C57</f>
        <v>FEMALE</v>
      </c>
      <c r="D54">
        <f>SALARY!C55</f>
        <v>8</v>
      </c>
      <c r="E54">
        <f>EMPLOYEEDATA!H57</f>
        <v>25</v>
      </c>
      <c r="F54">
        <f>EMPLOYEEDATA!J57</f>
        <v>15</v>
      </c>
      <c r="G54">
        <f>SALARY!D55</f>
        <v>48000</v>
      </c>
      <c r="H54">
        <f>SALARY!M55</f>
        <v>46080</v>
      </c>
    </row>
    <row r="55" spans="1:8" x14ac:dyDescent="0.25">
      <c r="A55">
        <v>48</v>
      </c>
      <c r="B55" t="str">
        <f>EMPLOYEEDATA!B58</f>
        <v>HAPINESS</v>
      </c>
      <c r="C55" t="str">
        <f>EMPLOYEEDATA!C58</f>
        <v>FEMALE</v>
      </c>
      <c r="D55">
        <f>SALARY!C56</f>
        <v>8</v>
      </c>
      <c r="E55">
        <f>EMPLOYEEDATA!H58</f>
        <v>25</v>
      </c>
      <c r="F55">
        <f>EMPLOYEEDATA!J58</f>
        <v>15</v>
      </c>
      <c r="G55">
        <f>SALARY!D56</f>
        <v>48000</v>
      </c>
      <c r="H55">
        <f>SALARY!M56</f>
        <v>46080</v>
      </c>
    </row>
    <row r="56" spans="1:8" x14ac:dyDescent="0.25">
      <c r="A56">
        <v>49</v>
      </c>
      <c r="B56" t="str">
        <f>EMPLOYEEDATA!B59</f>
        <v>PRINCESS</v>
      </c>
      <c r="C56" t="str">
        <f>EMPLOYEEDATA!C59</f>
        <v>FEMALE</v>
      </c>
      <c r="D56">
        <f>SALARY!C57</f>
        <v>8</v>
      </c>
      <c r="E56">
        <f>EMPLOYEEDATA!H59</f>
        <v>25</v>
      </c>
      <c r="F56">
        <f>EMPLOYEEDATA!J59</f>
        <v>15</v>
      </c>
      <c r="G56">
        <f>SALARY!D57</f>
        <v>48000</v>
      </c>
      <c r="H56">
        <f>SALARY!M57</f>
        <v>46080</v>
      </c>
    </row>
    <row r="57" spans="1:8" x14ac:dyDescent="0.25">
      <c r="A57">
        <v>50</v>
      </c>
      <c r="B57" t="str">
        <f>EMPLOYEEDATA!B60</f>
        <v>QUEEN</v>
      </c>
      <c r="C57" t="str">
        <f>EMPLOYEEDATA!C60</f>
        <v>FEMALE</v>
      </c>
      <c r="D57">
        <f>SALARY!C58</f>
        <v>8</v>
      </c>
      <c r="E57">
        <f>EMPLOYEEDATA!H60</f>
        <v>25</v>
      </c>
      <c r="F57">
        <f>EMPLOYEEDATA!J60</f>
        <v>15</v>
      </c>
      <c r="G57">
        <f>SALARY!D58</f>
        <v>48000</v>
      </c>
      <c r="H57">
        <f>SALARY!M58</f>
        <v>46080</v>
      </c>
    </row>
    <row r="58" spans="1:8" x14ac:dyDescent="0.25">
      <c r="A58">
        <v>51</v>
      </c>
      <c r="B58" t="str">
        <f>EMPLOYEEDATA!B61</f>
        <v>GREATNESS</v>
      </c>
      <c r="C58" t="str">
        <f>EMPLOYEEDATA!C61</f>
        <v>MALE</v>
      </c>
      <c r="D58">
        <f>SALARY!C59</f>
        <v>8</v>
      </c>
      <c r="E58">
        <f>EMPLOYEEDATA!H61</f>
        <v>25</v>
      </c>
      <c r="F58">
        <f>EMPLOYEEDATA!J61</f>
        <v>15</v>
      </c>
      <c r="G58">
        <f>SALARY!D59</f>
        <v>48000</v>
      </c>
      <c r="H58">
        <f>SALARY!M59</f>
        <v>46080</v>
      </c>
    </row>
    <row r="59" spans="1:8" x14ac:dyDescent="0.25">
      <c r="A59">
        <v>52</v>
      </c>
      <c r="B59" t="str">
        <f>EMPLOYEEDATA!B62</f>
        <v>KUKU</v>
      </c>
      <c r="C59" t="str">
        <f>EMPLOYEEDATA!C62</f>
        <v>MALE</v>
      </c>
      <c r="D59">
        <f>SALARY!C60</f>
        <v>8</v>
      </c>
      <c r="E59">
        <f>EMPLOYEEDATA!H62</f>
        <v>25</v>
      </c>
      <c r="F59">
        <f>EMPLOYEEDATA!J62</f>
        <v>15</v>
      </c>
      <c r="G59">
        <f>SALARY!D60</f>
        <v>48000</v>
      </c>
      <c r="H59">
        <f>SALARY!M60</f>
        <v>46080</v>
      </c>
    </row>
    <row r="60" spans="1:8" x14ac:dyDescent="0.25">
      <c r="A60">
        <v>53</v>
      </c>
      <c r="B60" t="str">
        <f>EMPLOYEEDATA!B63</f>
        <v>SUNKANMI</v>
      </c>
      <c r="C60" t="str">
        <f>EMPLOYEEDATA!C63</f>
        <v>MALE</v>
      </c>
      <c r="D60">
        <f>SALARY!C61</f>
        <v>8</v>
      </c>
      <c r="E60">
        <f>EMPLOYEEDATA!H63</f>
        <v>25</v>
      </c>
      <c r="F60">
        <f>EMPLOYEEDATA!J63</f>
        <v>15</v>
      </c>
      <c r="G60">
        <f>SALARY!D61</f>
        <v>48000</v>
      </c>
      <c r="H60">
        <f>SALARY!M61</f>
        <v>46080</v>
      </c>
    </row>
    <row r="61" spans="1:8" x14ac:dyDescent="0.25">
      <c r="A61">
        <v>54</v>
      </c>
      <c r="B61" t="str">
        <f>EMPLOYEEDATA!B64</f>
        <v>OYEDEJI</v>
      </c>
      <c r="C61" t="str">
        <f>EMPLOYEEDATA!C64</f>
        <v>MALE</v>
      </c>
      <c r="D61">
        <f>SALARY!C62</f>
        <v>2</v>
      </c>
      <c r="E61">
        <f>EMPLOYEEDATA!H64</f>
        <v>2</v>
      </c>
      <c r="F61">
        <f>EMPLOYEEDATA!J64</f>
        <v>24</v>
      </c>
      <c r="G61">
        <f>SALARY!D62</f>
        <v>26400</v>
      </c>
      <c r="H61">
        <f>SALARY!M62</f>
        <v>26928</v>
      </c>
    </row>
    <row r="62" spans="1:8" x14ac:dyDescent="0.25">
      <c r="A62">
        <v>55</v>
      </c>
      <c r="B62" t="str">
        <f>EMPLOYEEDATA!B65</f>
        <v>ODUWOLE</v>
      </c>
      <c r="C62" t="str">
        <f>EMPLOYEEDATA!C65</f>
        <v>MALE</v>
      </c>
      <c r="D62">
        <f>SALARY!C63</f>
        <v>4</v>
      </c>
      <c r="E62">
        <f>EMPLOYEEDATA!H65</f>
        <v>7</v>
      </c>
      <c r="F62">
        <f>EMPLOYEEDATA!J65</f>
        <v>23</v>
      </c>
      <c r="G62">
        <f>SALARY!D63</f>
        <v>26450</v>
      </c>
      <c r="H62">
        <f>SALARY!M63</f>
        <v>26979</v>
      </c>
    </row>
    <row r="63" spans="1:8" x14ac:dyDescent="0.25">
      <c r="A63">
        <v>56</v>
      </c>
      <c r="B63" t="str">
        <f>EMPLOYEEDATA!B66</f>
        <v>FEMI</v>
      </c>
      <c r="C63" t="str">
        <f>EMPLOYEEDATA!C66</f>
        <v>MALE</v>
      </c>
      <c r="D63">
        <f>SALARY!C64</f>
        <v>8</v>
      </c>
      <c r="E63">
        <f>EMPLOYEEDATA!H66</f>
        <v>12</v>
      </c>
      <c r="F63">
        <f>EMPLOYEEDATA!J66</f>
        <v>15</v>
      </c>
      <c r="G63">
        <f>SALARY!D64</f>
        <v>48000</v>
      </c>
      <c r="H63">
        <f>SALARY!M64</f>
        <v>46080</v>
      </c>
    </row>
    <row r="64" spans="1:8" x14ac:dyDescent="0.25">
      <c r="A64">
        <v>57</v>
      </c>
      <c r="B64" t="str">
        <f>EMPLOYEEDATA!B67</f>
        <v>KEMI</v>
      </c>
      <c r="C64" t="str">
        <f>EMPLOYEEDATA!C67</f>
        <v>FEMALE</v>
      </c>
      <c r="D64">
        <f>SALARY!C65</f>
        <v>5</v>
      </c>
      <c r="E64">
        <f>EMPLOYEEDATA!H67</f>
        <v>7</v>
      </c>
      <c r="F64">
        <f>EMPLOYEEDATA!J67</f>
        <v>22</v>
      </c>
      <c r="G64">
        <f>SALARY!D65</f>
        <v>30800</v>
      </c>
      <c r="H64">
        <f>SALARY!M65</f>
        <v>31416</v>
      </c>
    </row>
    <row r="65" spans="1:8" x14ac:dyDescent="0.25">
      <c r="A65">
        <v>58</v>
      </c>
      <c r="B65" t="str">
        <f>EMPLOYEEDATA!B68</f>
        <v>TOLANI</v>
      </c>
      <c r="C65" t="str">
        <f>EMPLOYEEDATA!C68</f>
        <v>FEMALE</v>
      </c>
      <c r="D65">
        <f>SALARY!C66</f>
        <v>8</v>
      </c>
      <c r="E65">
        <f>EMPLOYEEDATA!H68</f>
        <v>7</v>
      </c>
      <c r="F65">
        <f>EMPLOYEEDATA!J68</f>
        <v>15</v>
      </c>
      <c r="G65">
        <f>SALARY!D66</f>
        <v>48000</v>
      </c>
      <c r="H65">
        <f>SALARY!M66</f>
        <v>48960</v>
      </c>
    </row>
    <row r="66" spans="1:8" x14ac:dyDescent="0.25">
      <c r="A66">
        <v>59</v>
      </c>
      <c r="B66" t="str">
        <f>EMPLOYEEDATA!B69</f>
        <v>ENIOLA</v>
      </c>
      <c r="C66" t="str">
        <f>EMPLOYEEDATA!C69</f>
        <v>FEMALE</v>
      </c>
      <c r="D66">
        <f>SALARY!C67</f>
        <v>8</v>
      </c>
      <c r="E66">
        <f>EMPLOYEEDATA!H69</f>
        <v>12</v>
      </c>
      <c r="F66">
        <f>EMPLOYEEDATA!J69</f>
        <v>15</v>
      </c>
      <c r="G66">
        <f>SALARY!D67</f>
        <v>48000</v>
      </c>
      <c r="H66">
        <f>SALARY!M67</f>
        <v>48960</v>
      </c>
    </row>
    <row r="67" spans="1:8" x14ac:dyDescent="0.25">
      <c r="A67">
        <v>60</v>
      </c>
      <c r="B67" t="str">
        <f>EMPLOYEEDATA!B70</f>
        <v>VICKY</v>
      </c>
      <c r="C67" t="str">
        <f>EMPLOYEEDATA!C70</f>
        <v>FEMALE</v>
      </c>
      <c r="D67">
        <f>SALARY!C68</f>
        <v>8</v>
      </c>
      <c r="E67">
        <f>EMPLOYEEDATA!H70</f>
        <v>12</v>
      </c>
      <c r="F67">
        <f>EMPLOYEEDATA!J70</f>
        <v>15</v>
      </c>
      <c r="G67">
        <f>SALARY!D68</f>
        <v>48000</v>
      </c>
      <c r="H67">
        <f>SALARY!M68</f>
        <v>48960</v>
      </c>
    </row>
    <row r="68" spans="1:8" x14ac:dyDescent="0.25">
      <c r="A68">
        <v>61</v>
      </c>
      <c r="B68" t="str">
        <f>EMPLOYEEDATA!B71</f>
        <v>ESSIE</v>
      </c>
      <c r="C68" t="str">
        <f>EMPLOYEEDATA!C71</f>
        <v>FEMALE</v>
      </c>
      <c r="D68">
        <f>SALARY!C69</f>
        <v>8</v>
      </c>
      <c r="E68">
        <f>EMPLOYEEDATA!H71</f>
        <v>12</v>
      </c>
      <c r="F68">
        <f>EMPLOYEEDATA!J71</f>
        <v>15</v>
      </c>
      <c r="G68">
        <f>SALARY!D69</f>
        <v>48000</v>
      </c>
      <c r="H68">
        <f>SALARY!M69</f>
        <v>48960</v>
      </c>
    </row>
    <row r="69" spans="1:8" x14ac:dyDescent="0.25">
      <c r="A69">
        <v>62</v>
      </c>
      <c r="B69" t="str">
        <f>EMPLOYEEDATA!B72</f>
        <v>ELIZABETH</v>
      </c>
      <c r="C69" t="str">
        <f>EMPLOYEEDATA!C72</f>
        <v>FEMALE</v>
      </c>
      <c r="D69">
        <f>SALARY!C70</f>
        <v>7</v>
      </c>
      <c r="E69">
        <f>EMPLOYEEDATA!H72</f>
        <v>12</v>
      </c>
      <c r="F69">
        <f>EMPLOYEEDATA!J72</f>
        <v>20</v>
      </c>
      <c r="G69">
        <f>SALARY!D70</f>
        <v>45000</v>
      </c>
      <c r="H69">
        <f>SALARY!M70</f>
        <v>43200</v>
      </c>
    </row>
    <row r="70" spans="1:8" x14ac:dyDescent="0.25">
      <c r="A70">
        <v>63</v>
      </c>
      <c r="B70" t="str">
        <f>EMPLOYEEDATA!B73</f>
        <v>LOVETH</v>
      </c>
      <c r="C70" t="str">
        <f>EMPLOYEEDATA!C73</f>
        <v>FEMALE</v>
      </c>
      <c r="D70">
        <f>SALARY!C71</f>
        <v>8</v>
      </c>
      <c r="E70">
        <f>EMPLOYEEDATA!H73</f>
        <v>12</v>
      </c>
      <c r="F70">
        <f>EMPLOYEEDATA!J73</f>
        <v>15</v>
      </c>
      <c r="G70">
        <f>SALARY!D71</f>
        <v>48000</v>
      </c>
      <c r="H70">
        <f>SALARY!M71</f>
        <v>46080</v>
      </c>
    </row>
    <row r="71" spans="1:8" x14ac:dyDescent="0.25">
      <c r="A71">
        <v>64</v>
      </c>
      <c r="B71" t="str">
        <f>EMPLOYEEDATA!B74</f>
        <v>NIFEMI</v>
      </c>
      <c r="C71" t="str">
        <f>EMPLOYEEDATA!C74</f>
        <v>FEMALE</v>
      </c>
      <c r="D71">
        <f>SALARY!C72</f>
        <v>8</v>
      </c>
      <c r="E71">
        <f>EMPLOYEEDATA!H74</f>
        <v>12</v>
      </c>
      <c r="F71">
        <f>EMPLOYEEDATA!J74</f>
        <v>15</v>
      </c>
      <c r="G71">
        <f>SALARY!D72</f>
        <v>48000</v>
      </c>
      <c r="H71">
        <f>SALARY!M72</f>
        <v>46080</v>
      </c>
    </row>
    <row r="72" spans="1:8" x14ac:dyDescent="0.25">
      <c r="A72">
        <v>65</v>
      </c>
      <c r="B72" t="str">
        <f>EMPLOYEEDATA!B75</f>
        <v>BANKOLE</v>
      </c>
      <c r="C72" t="str">
        <f>EMPLOYEEDATA!C75</f>
        <v>MALE</v>
      </c>
      <c r="D72">
        <f>SALARY!C73</f>
        <v>8</v>
      </c>
      <c r="E72">
        <f>EMPLOYEEDATA!H75</f>
        <v>12</v>
      </c>
      <c r="F72">
        <f>EMPLOYEEDATA!J75</f>
        <v>15</v>
      </c>
      <c r="G72">
        <f>SALARY!D73</f>
        <v>48000</v>
      </c>
      <c r="H72">
        <f>SALARY!M73</f>
        <v>46080</v>
      </c>
    </row>
    <row r="73" spans="1:8" x14ac:dyDescent="0.25">
      <c r="A73">
        <v>66</v>
      </c>
      <c r="B73" t="str">
        <f>EMPLOYEEDATA!B76</f>
        <v>JOHN</v>
      </c>
      <c r="C73" t="str">
        <f>EMPLOYEEDATA!C76</f>
        <v>MALE</v>
      </c>
      <c r="D73">
        <f>SALARY!C74</f>
        <v>8</v>
      </c>
      <c r="E73">
        <f>EMPLOYEEDATA!H76</f>
        <v>25</v>
      </c>
      <c r="F73">
        <f>EMPLOYEEDATA!J76</f>
        <v>15</v>
      </c>
      <c r="G73">
        <f>SALARY!D74</f>
        <v>48000</v>
      </c>
      <c r="H73">
        <f>SALARY!M74</f>
        <v>46080</v>
      </c>
    </row>
    <row r="74" spans="1:8" x14ac:dyDescent="0.25">
      <c r="A74">
        <v>67</v>
      </c>
      <c r="B74" t="str">
        <f>EMPLOYEEDATA!B77</f>
        <v>TOLU</v>
      </c>
      <c r="C74" t="str">
        <f>EMPLOYEEDATA!C77</f>
        <v>MALE</v>
      </c>
      <c r="D74">
        <f>SALARY!C75</f>
        <v>8</v>
      </c>
      <c r="E74">
        <f>EMPLOYEEDATA!H77</f>
        <v>25</v>
      </c>
      <c r="F74">
        <f>EMPLOYEEDATA!J77</f>
        <v>15</v>
      </c>
      <c r="G74">
        <f>SALARY!D75</f>
        <v>48000</v>
      </c>
      <c r="H74">
        <f>SALARY!M75</f>
        <v>46080</v>
      </c>
    </row>
    <row r="75" spans="1:8" x14ac:dyDescent="0.25">
      <c r="A75">
        <v>68</v>
      </c>
      <c r="B75" t="str">
        <f>EMPLOYEEDATA!B78</f>
        <v>TAYO</v>
      </c>
      <c r="C75" t="str">
        <f>EMPLOYEEDATA!C78</f>
        <v>MALE</v>
      </c>
      <c r="D75">
        <f>SALARY!C76</f>
        <v>5</v>
      </c>
      <c r="E75">
        <f>EMPLOYEEDATA!H78</f>
        <v>7</v>
      </c>
      <c r="F75">
        <f>EMPLOYEEDATA!J78</f>
        <v>22</v>
      </c>
      <c r="G75">
        <f>SALARY!D76</f>
        <v>30800</v>
      </c>
      <c r="H75">
        <f>SALARY!M76</f>
        <v>31416</v>
      </c>
    </row>
    <row r="76" spans="1:8" x14ac:dyDescent="0.25">
      <c r="A76">
        <v>69</v>
      </c>
      <c r="B76" t="str">
        <f>EMPLOYEEDATA!B79</f>
        <v>YEMI</v>
      </c>
      <c r="C76" t="str">
        <f>EMPLOYEEDATA!C79</f>
        <v>MALE</v>
      </c>
      <c r="D76">
        <f>SALARY!C77</f>
        <v>8</v>
      </c>
      <c r="E76">
        <f>EMPLOYEEDATA!H79</f>
        <v>12</v>
      </c>
      <c r="F76">
        <f>EMPLOYEEDATA!J79</f>
        <v>15</v>
      </c>
      <c r="G76">
        <f>SALARY!D77</f>
        <v>48000</v>
      </c>
      <c r="H76">
        <f>SALARY!M77</f>
        <v>48960</v>
      </c>
    </row>
    <row r="77" spans="1:8" x14ac:dyDescent="0.25">
      <c r="A77">
        <v>70</v>
      </c>
      <c r="B77" t="str">
        <f>EMPLOYEEDATA!B80</f>
        <v>AYOBAMI</v>
      </c>
      <c r="C77" t="str">
        <f>EMPLOYEEDATA!C80</f>
        <v>MALE</v>
      </c>
      <c r="D77">
        <f>SALARY!C78</f>
        <v>8</v>
      </c>
      <c r="E77">
        <f>EMPLOYEEDATA!H80</f>
        <v>12</v>
      </c>
      <c r="F77">
        <f>EMPLOYEEDATA!J80</f>
        <v>15</v>
      </c>
      <c r="G77">
        <f>SALARY!D78</f>
        <v>48000</v>
      </c>
      <c r="H77">
        <f>SALARY!M78</f>
        <v>48960</v>
      </c>
    </row>
    <row r="78" spans="1:8" x14ac:dyDescent="0.25">
      <c r="A78">
        <v>71</v>
      </c>
      <c r="B78" t="str">
        <f>EMPLOYEEDATA!B81</f>
        <v>DOYIN</v>
      </c>
      <c r="C78" t="str">
        <f>EMPLOYEEDATA!C81</f>
        <v>MALE</v>
      </c>
      <c r="D78">
        <f>SALARY!C79</f>
        <v>2</v>
      </c>
      <c r="E78">
        <f>EMPLOYEEDATA!H81</f>
        <v>2</v>
      </c>
      <c r="F78">
        <f>EMPLOYEEDATA!J81</f>
        <v>24</v>
      </c>
      <c r="G78">
        <f>SALARY!D79</f>
        <v>26400</v>
      </c>
      <c r="H78">
        <f>SALARY!M79</f>
        <v>26928</v>
      </c>
    </row>
    <row r="79" spans="1:8" x14ac:dyDescent="0.25">
      <c r="A79">
        <v>72</v>
      </c>
      <c r="B79" t="str">
        <f>EMPLOYEEDATA!B82</f>
        <v>FESTUS</v>
      </c>
      <c r="C79" t="str">
        <f>EMPLOYEEDATA!C82</f>
        <v>MALE</v>
      </c>
      <c r="D79">
        <f>SALARY!C80</f>
        <v>7</v>
      </c>
      <c r="E79">
        <f>EMPLOYEEDATA!H82</f>
        <v>12</v>
      </c>
      <c r="F79">
        <f>EMPLOYEEDATA!J82</f>
        <v>20</v>
      </c>
      <c r="G79">
        <f>SALARY!D80</f>
        <v>45000</v>
      </c>
      <c r="H79">
        <f>SALARY!M80</f>
        <v>43200</v>
      </c>
    </row>
    <row r="80" spans="1:8" x14ac:dyDescent="0.25">
      <c r="A80">
        <v>73</v>
      </c>
      <c r="B80" t="str">
        <f>EMPLOYEEDATA!B83</f>
        <v>SEGUN</v>
      </c>
      <c r="C80" t="str">
        <f>EMPLOYEEDATA!C83</f>
        <v>MALE</v>
      </c>
      <c r="D80">
        <f>SALARY!C81</f>
        <v>8</v>
      </c>
      <c r="E80">
        <f>EMPLOYEEDATA!H83</f>
        <v>7</v>
      </c>
      <c r="F80">
        <f>EMPLOYEEDATA!J83</f>
        <v>15</v>
      </c>
      <c r="G80">
        <f>SALARY!D81</f>
        <v>48000</v>
      </c>
      <c r="H80">
        <f>SALARY!M81</f>
        <v>48960</v>
      </c>
    </row>
    <row r="81" spans="1:8" x14ac:dyDescent="0.25">
      <c r="A81">
        <v>74</v>
      </c>
      <c r="B81" t="str">
        <f>EMPLOYEEDATA!B84</f>
        <v>FUNMI</v>
      </c>
      <c r="C81" t="str">
        <f>EMPLOYEEDATA!C84</f>
        <v>FEMALE</v>
      </c>
      <c r="D81">
        <f>SALARY!C82</f>
        <v>8</v>
      </c>
      <c r="E81">
        <f>EMPLOYEEDATA!H84</f>
        <v>25</v>
      </c>
      <c r="F81">
        <f>EMPLOYEEDATA!J84</f>
        <v>15</v>
      </c>
      <c r="G81">
        <f>SALARY!D82</f>
        <v>48000</v>
      </c>
      <c r="H81">
        <f>SALARY!M82</f>
        <v>46080</v>
      </c>
    </row>
    <row r="82" spans="1:8" x14ac:dyDescent="0.25">
      <c r="A82">
        <v>75</v>
      </c>
      <c r="B82" t="str">
        <f>EMPLOYEEDATA!B85</f>
        <v>FARIDAT</v>
      </c>
      <c r="C82" t="str">
        <f>EMPLOYEEDATA!C85</f>
        <v>FEMALE</v>
      </c>
      <c r="D82">
        <f>SALARY!C83</f>
        <v>8</v>
      </c>
      <c r="E82">
        <f>EMPLOYEEDATA!H85</f>
        <v>25</v>
      </c>
      <c r="F82">
        <f>EMPLOYEEDATA!J85</f>
        <v>15</v>
      </c>
      <c r="G82">
        <f>SALARY!D83</f>
        <v>48000</v>
      </c>
      <c r="H82">
        <f>SALARY!M83</f>
        <v>46080</v>
      </c>
    </row>
    <row r="83" spans="1:8" x14ac:dyDescent="0.25">
      <c r="A83">
        <v>76</v>
      </c>
      <c r="B83" t="str">
        <f>EMPLOYEEDATA!B86</f>
        <v>FEYI</v>
      </c>
      <c r="C83" t="str">
        <f>EMPLOYEEDATA!C86</f>
        <v>FEMALE</v>
      </c>
      <c r="D83">
        <f>SALARY!C84</f>
        <v>8</v>
      </c>
      <c r="E83">
        <f>EMPLOYEEDATA!H86</f>
        <v>25</v>
      </c>
      <c r="F83">
        <f>EMPLOYEEDATA!J86</f>
        <v>15</v>
      </c>
      <c r="G83">
        <f>SALARY!D84</f>
        <v>48000</v>
      </c>
      <c r="H83">
        <f>SALARY!M84</f>
        <v>46080</v>
      </c>
    </row>
    <row r="84" spans="1:8" x14ac:dyDescent="0.25">
      <c r="A84">
        <v>77</v>
      </c>
      <c r="B84" t="str">
        <f>EMPLOYEEDATA!B87</f>
        <v>STEFFY</v>
      </c>
      <c r="C84" t="str">
        <f>EMPLOYEEDATA!C87</f>
        <v>FEMALE</v>
      </c>
      <c r="D84">
        <f>SALARY!C85</f>
        <v>8</v>
      </c>
      <c r="E84">
        <f>EMPLOYEEDATA!H87</f>
        <v>25</v>
      </c>
      <c r="F84">
        <f>EMPLOYEEDATA!J87</f>
        <v>15</v>
      </c>
      <c r="G84">
        <f>SALARY!D85</f>
        <v>48000</v>
      </c>
      <c r="H84">
        <f>SALARY!M85</f>
        <v>46080</v>
      </c>
    </row>
    <row r="85" spans="1:8" x14ac:dyDescent="0.25">
      <c r="A85">
        <v>78</v>
      </c>
      <c r="B85" t="str">
        <f>EMPLOYEEDATA!B88</f>
        <v>LAMIDE</v>
      </c>
      <c r="C85" t="str">
        <f>EMPLOYEEDATA!C88</f>
        <v>FEMALE</v>
      </c>
      <c r="D85">
        <f>SALARY!C86</f>
        <v>7</v>
      </c>
      <c r="E85">
        <f>EMPLOYEEDATA!H88</f>
        <v>12</v>
      </c>
      <c r="F85">
        <f>EMPLOYEEDATA!J88</f>
        <v>20</v>
      </c>
      <c r="G85">
        <f>SALARY!D86</f>
        <v>45000</v>
      </c>
      <c r="H85">
        <f>SALARY!M86</f>
        <v>43200</v>
      </c>
    </row>
    <row r="86" spans="1:8" x14ac:dyDescent="0.25">
      <c r="A86">
        <v>79</v>
      </c>
      <c r="B86" t="str">
        <f>EMPLOYEEDATA!B89</f>
        <v>NIMI</v>
      </c>
      <c r="C86" t="str">
        <f>EMPLOYEEDATA!C89</f>
        <v>FEMALE</v>
      </c>
      <c r="D86">
        <f>SALARY!C87</f>
        <v>8</v>
      </c>
      <c r="E86">
        <f>EMPLOYEEDATA!H89</f>
        <v>12</v>
      </c>
      <c r="F86">
        <f>EMPLOYEEDATA!J89</f>
        <v>15</v>
      </c>
      <c r="G86">
        <f>SALARY!D87</f>
        <v>48000</v>
      </c>
      <c r="H86">
        <f>SALARY!M87</f>
        <v>48960</v>
      </c>
    </row>
    <row r="87" spans="1:8" x14ac:dyDescent="0.25">
      <c r="A87">
        <v>80</v>
      </c>
      <c r="B87" t="str">
        <f>EMPLOYEEDATA!B90</f>
        <v>ALO</v>
      </c>
      <c r="C87" t="str">
        <f>EMPLOYEEDATA!C90</f>
        <v>MALE</v>
      </c>
      <c r="D87">
        <f>SALARY!C88</f>
        <v>2</v>
      </c>
      <c r="E87">
        <f>EMPLOYEEDATA!H90</f>
        <v>2</v>
      </c>
      <c r="F87">
        <f>EMPLOYEEDATA!J90</f>
        <v>24</v>
      </c>
      <c r="G87">
        <f>SALARY!D88</f>
        <v>26400</v>
      </c>
      <c r="H87">
        <f>SALARY!M88</f>
        <v>26928</v>
      </c>
    </row>
  </sheetData>
  <mergeCells count="1">
    <mergeCell ref="F1:O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7B9CB-5BC8-48AD-8E9B-8BCF4C4FE7ED}">
  <dimension ref="A1:O87"/>
  <sheetViews>
    <sheetView workbookViewId="0">
      <selection activeCell="F1" sqref="F1:O5"/>
    </sheetView>
  </sheetViews>
  <sheetFormatPr defaultRowHeight="15" x14ac:dyDescent="0.25"/>
  <cols>
    <col min="2" max="2" width="11.140625" bestFit="1" customWidth="1"/>
    <col min="4" max="4" width="16.28515625" bestFit="1" customWidth="1"/>
    <col min="5" max="5" width="14.28515625" bestFit="1" customWidth="1"/>
    <col min="6" max="6" width="13.42578125" bestFit="1" customWidth="1"/>
    <col min="7" max="8" width="14.28515625" bestFit="1" customWidth="1"/>
    <col min="9" max="9" width="11.5703125" bestFit="1" customWidth="1"/>
  </cols>
  <sheetData>
    <row r="1" spans="1:15" ht="15" customHeight="1" x14ac:dyDescent="0.25">
      <c r="F1" s="4" t="s">
        <v>0</v>
      </c>
      <c r="G1" s="6"/>
      <c r="H1" s="6"/>
      <c r="I1" s="6"/>
      <c r="J1" s="6"/>
      <c r="K1" s="6"/>
      <c r="L1" s="6"/>
      <c r="M1" s="6"/>
      <c r="N1" s="6"/>
      <c r="O1" s="6"/>
    </row>
    <row r="2" spans="1:15" x14ac:dyDescent="0.25">
      <c r="F2" s="6"/>
      <c r="G2" s="6"/>
      <c r="H2" s="6"/>
      <c r="I2" s="6"/>
      <c r="J2" s="6"/>
      <c r="K2" s="6"/>
      <c r="L2" s="6"/>
      <c r="M2" s="6"/>
      <c r="N2" s="6"/>
      <c r="O2" s="6"/>
    </row>
    <row r="3" spans="1:15" x14ac:dyDescent="0.25">
      <c r="F3" s="6"/>
      <c r="G3" s="6"/>
      <c r="H3" s="6"/>
      <c r="I3" s="6"/>
      <c r="J3" s="6"/>
      <c r="K3" s="6"/>
      <c r="L3" s="6"/>
      <c r="M3" s="6"/>
      <c r="N3" s="6"/>
      <c r="O3" s="6"/>
    </row>
    <row r="4" spans="1:15" x14ac:dyDescent="0.25">
      <c r="F4" s="6"/>
      <c r="G4" s="6"/>
      <c r="H4" s="6"/>
      <c r="I4" s="6"/>
      <c r="J4" s="6"/>
      <c r="K4" s="6"/>
      <c r="L4" s="6"/>
      <c r="M4" s="6"/>
      <c r="N4" s="6"/>
      <c r="O4" s="6"/>
    </row>
    <row r="5" spans="1:15" x14ac:dyDescent="0.25"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x14ac:dyDescent="0.25"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s="2" customFormat="1" x14ac:dyDescent="0.25">
      <c r="A7" s="2" t="s">
        <v>1</v>
      </c>
      <c r="B7" s="2" t="s">
        <v>2</v>
      </c>
      <c r="C7" s="2" t="s">
        <v>81</v>
      </c>
      <c r="D7" s="2" t="s">
        <v>86</v>
      </c>
      <c r="E7" s="2" t="s">
        <v>87</v>
      </c>
      <c r="F7" s="2" t="s">
        <v>94</v>
      </c>
      <c r="G7" s="2" t="s">
        <v>98</v>
      </c>
      <c r="H7" s="2" t="s">
        <v>106</v>
      </c>
      <c r="I7" s="2" t="s">
        <v>104</v>
      </c>
    </row>
    <row r="8" spans="1:15" x14ac:dyDescent="0.25">
      <c r="A8">
        <v>1</v>
      </c>
      <c r="B8" t="str">
        <f>SALARY!B9</f>
        <v>RUNSEWE</v>
      </c>
      <c r="C8" t="str">
        <f>EMPLOYEEDATA!C11</f>
        <v>FEMALE</v>
      </c>
      <c r="D8" t="str">
        <f>EMPLOYEEDATA!E11</f>
        <v>SINGLE</v>
      </c>
      <c r="E8" t="str">
        <f>EMPLOYEEDATA!F11</f>
        <v>OFF QUARTERS</v>
      </c>
      <c r="F8">
        <f>SALARY!D9</f>
        <v>26450</v>
      </c>
      <c r="G8">
        <f>SALARY!H9</f>
        <v>31740</v>
      </c>
      <c r="H8">
        <f>SALARY!L9</f>
        <v>4761</v>
      </c>
      <c r="I8">
        <f>SALARYSUMMARY!H8</f>
        <v>26979</v>
      </c>
    </row>
    <row r="9" spans="1:15" x14ac:dyDescent="0.25">
      <c r="A9">
        <v>2</v>
      </c>
      <c r="B9" t="str">
        <f>SALARY!B10</f>
        <v>IFEOLUWA</v>
      </c>
      <c r="C9" t="str">
        <f>EMPLOYEEDATA!C12</f>
        <v>FEMALE</v>
      </c>
      <c r="D9" t="str">
        <f>EMPLOYEEDATA!E12</f>
        <v>SINGLE</v>
      </c>
      <c r="E9" t="str">
        <f>EMPLOYEEDATA!F12</f>
        <v>OFF QUARTERS</v>
      </c>
      <c r="F9">
        <f>SALARY!D10</f>
        <v>26450</v>
      </c>
      <c r="G9">
        <f>SALARY!H10</f>
        <v>31740</v>
      </c>
      <c r="H9">
        <f>SALARY!L10</f>
        <v>4761</v>
      </c>
      <c r="I9">
        <f>SALARYSUMMARY!H9</f>
        <v>26979</v>
      </c>
    </row>
    <row r="10" spans="1:15" x14ac:dyDescent="0.25">
      <c r="A10">
        <v>3</v>
      </c>
      <c r="B10" t="str">
        <f>SALARY!B11</f>
        <v>RUTH</v>
      </c>
      <c r="C10" t="str">
        <f>EMPLOYEEDATA!C13</f>
        <v>FEMALE</v>
      </c>
      <c r="D10" t="str">
        <f>EMPLOYEEDATA!E13</f>
        <v>SINGLE</v>
      </c>
      <c r="E10" t="str">
        <f>EMPLOYEEDATA!F13</f>
        <v>OFF QUARTERS</v>
      </c>
      <c r="F10">
        <f>SALARY!D11</f>
        <v>26400</v>
      </c>
      <c r="G10">
        <f>SALARY!H11</f>
        <v>31680</v>
      </c>
      <c r="H10">
        <f>SALARY!L11</f>
        <v>4752</v>
      </c>
      <c r="I10">
        <f>SALARYSUMMARY!H10</f>
        <v>26928</v>
      </c>
    </row>
    <row r="11" spans="1:15" x14ac:dyDescent="0.25">
      <c r="A11">
        <v>4</v>
      </c>
      <c r="B11" t="str">
        <f>SALARY!B12</f>
        <v>AYO</v>
      </c>
      <c r="C11" t="str">
        <f>EMPLOYEEDATA!C14</f>
        <v>FEMALE</v>
      </c>
      <c r="D11" t="str">
        <f>EMPLOYEEDATA!E14</f>
        <v>SINGLE</v>
      </c>
      <c r="E11" t="str">
        <f>EMPLOYEEDATA!F14</f>
        <v>OFF QUARTERS</v>
      </c>
      <c r="F11">
        <f>SALARY!D12</f>
        <v>30800</v>
      </c>
      <c r="G11">
        <f>SALARY!H12</f>
        <v>36960</v>
      </c>
      <c r="H11">
        <f>SALARY!L12</f>
        <v>5544</v>
      </c>
      <c r="I11">
        <f>SALARYSUMMARY!H11</f>
        <v>31416</v>
      </c>
    </row>
    <row r="12" spans="1:15" x14ac:dyDescent="0.25">
      <c r="A12">
        <v>5</v>
      </c>
      <c r="B12" t="str">
        <f>SALARY!B13</f>
        <v>OLA</v>
      </c>
      <c r="C12" t="str">
        <f>EMPLOYEEDATA!C15</f>
        <v>MALE</v>
      </c>
      <c r="D12" t="str">
        <f>EMPLOYEEDATA!E15</f>
        <v>MARRIED</v>
      </c>
      <c r="E12" t="str">
        <f>EMPLOYEEDATA!F15</f>
        <v>QUARTERS</v>
      </c>
      <c r="F12">
        <f>SALARY!D13</f>
        <v>48000</v>
      </c>
      <c r="G12">
        <f>SALARY!H13</f>
        <v>54720</v>
      </c>
      <c r="H12">
        <f>SALARY!L13</f>
        <v>8640</v>
      </c>
      <c r="I12">
        <f>SALARYSUMMARY!H12</f>
        <v>46080</v>
      </c>
    </row>
    <row r="13" spans="1:15" x14ac:dyDescent="0.25">
      <c r="A13">
        <v>6</v>
      </c>
      <c r="B13" t="str">
        <f>SALARY!B14</f>
        <v>PONMILE</v>
      </c>
      <c r="C13" t="str">
        <f>EMPLOYEEDATA!C16</f>
        <v>MALE</v>
      </c>
      <c r="D13" t="str">
        <f>EMPLOYEEDATA!E16</f>
        <v>MARRIED</v>
      </c>
      <c r="E13" t="str">
        <f>EMPLOYEEDATA!F16</f>
        <v>QUARTERS</v>
      </c>
      <c r="F13">
        <f>SALARY!D14</f>
        <v>48000</v>
      </c>
      <c r="G13">
        <f>SALARY!H14</f>
        <v>54720</v>
      </c>
      <c r="H13">
        <f>SALARY!L14</f>
        <v>8640</v>
      </c>
      <c r="I13">
        <f>SALARYSUMMARY!H13</f>
        <v>46080</v>
      </c>
    </row>
    <row r="14" spans="1:15" x14ac:dyDescent="0.25">
      <c r="A14">
        <v>7</v>
      </c>
      <c r="B14" t="str">
        <f>SALARY!B15</f>
        <v>DEVINE</v>
      </c>
      <c r="C14" t="str">
        <f>EMPLOYEEDATA!C17</f>
        <v>FEMALE</v>
      </c>
      <c r="D14" t="str">
        <f>EMPLOYEEDATA!E17</f>
        <v>MARRIED</v>
      </c>
      <c r="E14" t="str">
        <f>EMPLOYEEDATA!F17</f>
        <v>QUARTERS</v>
      </c>
      <c r="F14">
        <f>SALARY!D15</f>
        <v>48000</v>
      </c>
      <c r="G14">
        <f>SALARY!H15</f>
        <v>54720</v>
      </c>
      <c r="H14">
        <f>SALARY!L15</f>
        <v>8640</v>
      </c>
      <c r="I14">
        <f>SALARYSUMMARY!H14</f>
        <v>46080</v>
      </c>
    </row>
    <row r="15" spans="1:15" x14ac:dyDescent="0.25">
      <c r="A15">
        <v>8</v>
      </c>
      <c r="B15" t="str">
        <f>SALARY!B16</f>
        <v>IMISI</v>
      </c>
      <c r="C15" t="str">
        <f>EMPLOYEEDATA!C18</f>
        <v>FEMALE</v>
      </c>
      <c r="D15" t="str">
        <f>EMPLOYEEDATA!E18</f>
        <v>SINGLE</v>
      </c>
      <c r="E15" t="str">
        <f>EMPLOYEEDATA!F18</f>
        <v>QUARTERS</v>
      </c>
      <c r="F15">
        <f>SALARY!D16</f>
        <v>45000</v>
      </c>
      <c r="G15">
        <f>SALARY!H16</f>
        <v>51300</v>
      </c>
      <c r="H15">
        <f>SALARY!L16</f>
        <v>8100</v>
      </c>
      <c r="I15">
        <f>SALARYSUMMARY!H15</f>
        <v>43200</v>
      </c>
    </row>
    <row r="16" spans="1:15" x14ac:dyDescent="0.25">
      <c r="A16">
        <v>9</v>
      </c>
      <c r="B16" t="str">
        <f>SALARY!B17</f>
        <v>JAMES</v>
      </c>
      <c r="C16" t="str">
        <f>EMPLOYEEDATA!C19</f>
        <v>MALE</v>
      </c>
      <c r="D16" t="str">
        <f>EMPLOYEEDATA!E19</f>
        <v>SINGLE</v>
      </c>
      <c r="E16" t="str">
        <f>EMPLOYEEDATA!F19</f>
        <v>OFF QUARTERS</v>
      </c>
      <c r="F16">
        <f>SALARY!D17</f>
        <v>26450</v>
      </c>
      <c r="G16">
        <f>SALARY!H17</f>
        <v>31740</v>
      </c>
      <c r="H16">
        <f>SALARY!L17</f>
        <v>4761</v>
      </c>
      <c r="I16">
        <f>SALARYSUMMARY!H16</f>
        <v>26979</v>
      </c>
    </row>
    <row r="17" spans="1:9" x14ac:dyDescent="0.25">
      <c r="A17">
        <v>10</v>
      </c>
      <c r="B17" t="str">
        <f>SALARY!B18</f>
        <v>KENNY</v>
      </c>
      <c r="C17" t="str">
        <f>EMPLOYEEDATA!C20</f>
        <v>MALE</v>
      </c>
      <c r="D17" t="str">
        <f>EMPLOYEEDATA!E20</f>
        <v>SINGLE</v>
      </c>
      <c r="E17" t="str">
        <f>EMPLOYEEDATA!F20</f>
        <v>OFF QUARTERS</v>
      </c>
      <c r="F17">
        <f>SALARY!D18</f>
        <v>26400</v>
      </c>
      <c r="G17">
        <f>SALARY!H18</f>
        <v>31680</v>
      </c>
      <c r="H17">
        <f>SALARY!L18</f>
        <v>4752</v>
      </c>
      <c r="I17">
        <f>SALARYSUMMARY!H17</f>
        <v>26928</v>
      </c>
    </row>
    <row r="18" spans="1:9" x14ac:dyDescent="0.25">
      <c r="A18">
        <v>11</v>
      </c>
      <c r="B18" t="str">
        <f>SALARY!B19</f>
        <v>FAITH</v>
      </c>
      <c r="C18" t="str">
        <f>EMPLOYEEDATA!C21</f>
        <v>FEMALE</v>
      </c>
      <c r="D18" t="str">
        <f>EMPLOYEEDATA!E21</f>
        <v>MARRIED</v>
      </c>
      <c r="E18" t="str">
        <f>EMPLOYEEDATA!F21</f>
        <v>QUARTERS</v>
      </c>
      <c r="F18">
        <f>SALARY!D19</f>
        <v>48000</v>
      </c>
      <c r="G18">
        <f>SALARY!H19</f>
        <v>54720</v>
      </c>
      <c r="H18">
        <f>SALARY!L19</f>
        <v>8640</v>
      </c>
      <c r="I18">
        <f>SALARYSUMMARY!H18</f>
        <v>46080</v>
      </c>
    </row>
    <row r="19" spans="1:9" x14ac:dyDescent="0.25">
      <c r="A19">
        <v>12</v>
      </c>
      <c r="B19" t="str">
        <f>SALARY!B20</f>
        <v>SEGUN</v>
      </c>
      <c r="C19" t="str">
        <f>EMPLOYEEDATA!C22</f>
        <v>MALE</v>
      </c>
      <c r="D19" t="str">
        <f>EMPLOYEEDATA!E22</f>
        <v>SINGLE</v>
      </c>
      <c r="E19" t="str">
        <f>EMPLOYEEDATA!F22</f>
        <v>OFF QUARTERS</v>
      </c>
      <c r="F19">
        <f>SALARY!D20</f>
        <v>30800</v>
      </c>
      <c r="G19">
        <f>SALARY!H20</f>
        <v>36960</v>
      </c>
      <c r="H19">
        <f>SALARY!L20</f>
        <v>5544</v>
      </c>
      <c r="I19">
        <f>SALARYSUMMARY!H19</f>
        <v>31416</v>
      </c>
    </row>
    <row r="20" spans="1:9" x14ac:dyDescent="0.25">
      <c r="A20">
        <v>13</v>
      </c>
      <c r="B20" t="str">
        <f>SALARY!B21</f>
        <v>TAIWO</v>
      </c>
      <c r="C20" t="str">
        <f>EMPLOYEEDATA!C23</f>
        <v>MALE</v>
      </c>
      <c r="D20" t="str">
        <f>EMPLOYEEDATA!E23</f>
        <v>SINGLE</v>
      </c>
      <c r="E20" t="str">
        <f>EMPLOYEEDATA!F23</f>
        <v>OFF QUARTERS</v>
      </c>
      <c r="F20">
        <f>SALARY!D21</f>
        <v>48000</v>
      </c>
      <c r="G20">
        <f>SALARY!H21</f>
        <v>57600</v>
      </c>
      <c r="H20">
        <f>SALARY!L21</f>
        <v>8640</v>
      </c>
      <c r="I20">
        <f>SALARYSUMMARY!H20</f>
        <v>48960</v>
      </c>
    </row>
    <row r="21" spans="1:9" x14ac:dyDescent="0.25">
      <c r="A21">
        <v>14</v>
      </c>
      <c r="B21" t="str">
        <f>SALARY!B22</f>
        <v>JUMOKE</v>
      </c>
      <c r="C21" t="str">
        <f>EMPLOYEEDATA!C24</f>
        <v>FEMALE</v>
      </c>
      <c r="D21" t="str">
        <f>EMPLOYEEDATA!E24</f>
        <v>SINGLE</v>
      </c>
      <c r="E21" t="str">
        <f>EMPLOYEEDATA!F24</f>
        <v>OFF QUARTERS</v>
      </c>
      <c r="F21">
        <f>SALARY!D22</f>
        <v>26400</v>
      </c>
      <c r="G21">
        <f>SALARY!H22</f>
        <v>31680</v>
      </c>
      <c r="H21">
        <f>SALARY!L22</f>
        <v>4752</v>
      </c>
      <c r="I21">
        <f>SALARYSUMMARY!H21</f>
        <v>26928</v>
      </c>
    </row>
    <row r="22" spans="1:9" x14ac:dyDescent="0.25">
      <c r="A22">
        <v>15</v>
      </c>
      <c r="B22" t="str">
        <f>SALARY!B23</f>
        <v>ISAAC</v>
      </c>
      <c r="C22" t="str">
        <f>EMPLOYEEDATA!C25</f>
        <v>MALE</v>
      </c>
      <c r="D22" t="str">
        <f>EMPLOYEEDATA!E25</f>
        <v>SINGLE</v>
      </c>
      <c r="E22" t="str">
        <f>EMPLOYEEDATA!F25</f>
        <v>OFF QUARTERS</v>
      </c>
      <c r="F22">
        <f>SALARY!D23</f>
        <v>48000</v>
      </c>
      <c r="G22">
        <f>SALARY!H23</f>
        <v>57600</v>
      </c>
      <c r="H22">
        <f>SALARY!L23</f>
        <v>8640</v>
      </c>
      <c r="I22">
        <f>SALARYSUMMARY!H22</f>
        <v>48960</v>
      </c>
    </row>
    <row r="23" spans="1:9" x14ac:dyDescent="0.25">
      <c r="A23">
        <v>16</v>
      </c>
      <c r="B23" t="str">
        <f>SALARY!B24</f>
        <v>ISREAL</v>
      </c>
      <c r="C23" t="str">
        <f>EMPLOYEEDATA!C26</f>
        <v>MALE</v>
      </c>
      <c r="D23" t="str">
        <f>EMPLOYEEDATA!E26</f>
        <v>SINGLE</v>
      </c>
      <c r="E23" t="str">
        <f>EMPLOYEEDATA!F26</f>
        <v>OFF QUARTERS</v>
      </c>
      <c r="F23">
        <f>SALARY!D24</f>
        <v>48000</v>
      </c>
      <c r="G23">
        <f>SALARY!H24</f>
        <v>57600</v>
      </c>
      <c r="H23">
        <f>SALARY!L24</f>
        <v>8640</v>
      </c>
      <c r="I23">
        <f>SALARYSUMMARY!H23</f>
        <v>48960</v>
      </c>
    </row>
    <row r="24" spans="1:9" x14ac:dyDescent="0.25">
      <c r="A24">
        <v>17</v>
      </c>
      <c r="B24" t="str">
        <f>SALARY!B25</f>
        <v>PEACE</v>
      </c>
      <c r="C24" t="str">
        <f>EMPLOYEEDATA!C27</f>
        <v>FEMALE</v>
      </c>
      <c r="D24" t="str">
        <f>EMPLOYEEDATA!E27</f>
        <v>SINGLE</v>
      </c>
      <c r="E24" t="str">
        <f>EMPLOYEEDATA!F27</f>
        <v>QUARTERS</v>
      </c>
      <c r="F24">
        <f>SALARY!D25</f>
        <v>45000</v>
      </c>
      <c r="G24">
        <f>SALARY!H25</f>
        <v>51300</v>
      </c>
      <c r="H24">
        <f>SALARY!L25</f>
        <v>8100</v>
      </c>
      <c r="I24">
        <f>SALARYSUMMARY!H24</f>
        <v>43200</v>
      </c>
    </row>
    <row r="25" spans="1:9" x14ac:dyDescent="0.25">
      <c r="A25">
        <v>18</v>
      </c>
      <c r="B25" t="str">
        <f>SALARY!B26</f>
        <v>ROSE</v>
      </c>
      <c r="C25" t="str">
        <f>EMPLOYEEDATA!C28</f>
        <v>FEMALE</v>
      </c>
      <c r="D25" t="str">
        <f>EMPLOYEEDATA!E28</f>
        <v>SINGLE</v>
      </c>
      <c r="E25" t="str">
        <f>EMPLOYEEDATA!F28</f>
        <v>OFF QUARTERS</v>
      </c>
      <c r="F25">
        <f>SALARY!D26</f>
        <v>26400</v>
      </c>
      <c r="G25">
        <f>SALARY!H26</f>
        <v>31680</v>
      </c>
      <c r="H25">
        <f>SALARY!L26</f>
        <v>4752</v>
      </c>
      <c r="I25">
        <f>SALARYSUMMARY!H25</f>
        <v>26928</v>
      </c>
    </row>
    <row r="26" spans="1:9" x14ac:dyDescent="0.25">
      <c r="A26">
        <v>19</v>
      </c>
      <c r="B26" t="str">
        <f>SALARY!B27</f>
        <v>DELIGHT</v>
      </c>
      <c r="C26" t="str">
        <f>EMPLOYEEDATA!C29</f>
        <v>FEMALE</v>
      </c>
      <c r="D26" t="str">
        <f>EMPLOYEEDATA!E29</f>
        <v>MARRIED</v>
      </c>
      <c r="E26" t="str">
        <f>EMPLOYEEDATA!F29</f>
        <v>QUARTERS</v>
      </c>
      <c r="F26">
        <f>SALARY!D27</f>
        <v>48000</v>
      </c>
      <c r="G26">
        <f>SALARY!H27</f>
        <v>54720</v>
      </c>
      <c r="H26">
        <f>SALARY!L27</f>
        <v>8640</v>
      </c>
      <c r="I26">
        <f>SALARYSUMMARY!H26</f>
        <v>46080</v>
      </c>
    </row>
    <row r="27" spans="1:9" x14ac:dyDescent="0.25">
      <c r="A27">
        <v>20</v>
      </c>
      <c r="B27" t="str">
        <f>SALARY!B28</f>
        <v>KELVIN</v>
      </c>
      <c r="C27" t="str">
        <f>EMPLOYEEDATA!C30</f>
        <v>MALE</v>
      </c>
      <c r="D27" t="str">
        <f>EMPLOYEEDATA!E30</f>
        <v>MARRIED</v>
      </c>
      <c r="E27" t="str">
        <f>EMPLOYEEDATA!F30</f>
        <v>QUARTERS</v>
      </c>
      <c r="F27">
        <f>SALARY!D28</f>
        <v>48000</v>
      </c>
      <c r="G27">
        <f>SALARY!H28</f>
        <v>54720</v>
      </c>
      <c r="H27">
        <f>SALARY!L28</f>
        <v>8640</v>
      </c>
      <c r="I27">
        <f>SALARYSUMMARY!H27</f>
        <v>46080</v>
      </c>
    </row>
    <row r="28" spans="1:9" x14ac:dyDescent="0.25">
      <c r="A28">
        <v>21</v>
      </c>
      <c r="B28" t="str">
        <f>SALARY!B29</f>
        <v>JEDIDAH</v>
      </c>
      <c r="C28" t="str">
        <f>EMPLOYEEDATA!C31</f>
        <v>MALE</v>
      </c>
      <c r="D28" t="str">
        <f>EMPLOYEEDATA!E31</f>
        <v>MARRIED</v>
      </c>
      <c r="E28" t="str">
        <f>EMPLOYEEDATA!F31</f>
        <v>QUARTERS</v>
      </c>
      <c r="F28">
        <f>SALARY!D29</f>
        <v>48000</v>
      </c>
      <c r="G28">
        <f>SALARY!H29</f>
        <v>54720</v>
      </c>
      <c r="H28">
        <f>SALARY!L29</f>
        <v>8640</v>
      </c>
      <c r="I28">
        <f>SALARYSUMMARY!H28</f>
        <v>46080</v>
      </c>
    </row>
    <row r="29" spans="1:9" x14ac:dyDescent="0.25">
      <c r="A29">
        <v>22</v>
      </c>
      <c r="B29" t="str">
        <f>SALARY!B30</f>
        <v>DANIEL</v>
      </c>
      <c r="C29" t="str">
        <f>EMPLOYEEDATA!C32</f>
        <v>MALE</v>
      </c>
      <c r="D29" t="str">
        <f>EMPLOYEEDATA!E32</f>
        <v>MARRIED</v>
      </c>
      <c r="E29" t="str">
        <f>EMPLOYEEDATA!F32</f>
        <v>QUARTERS</v>
      </c>
      <c r="F29">
        <f>SALARY!D30</f>
        <v>48000</v>
      </c>
      <c r="G29">
        <f>SALARY!H30</f>
        <v>54720</v>
      </c>
      <c r="H29">
        <f>SALARY!L30</f>
        <v>8640</v>
      </c>
      <c r="I29">
        <f>SALARYSUMMARY!H29</f>
        <v>46080</v>
      </c>
    </row>
    <row r="30" spans="1:9" x14ac:dyDescent="0.25">
      <c r="A30">
        <v>23</v>
      </c>
      <c r="B30" t="str">
        <f>SALARY!B31</f>
        <v>MASON</v>
      </c>
      <c r="C30" t="str">
        <f>EMPLOYEEDATA!C33</f>
        <v>MALE</v>
      </c>
      <c r="D30" t="str">
        <f>EMPLOYEEDATA!E33</f>
        <v>MARRIED</v>
      </c>
      <c r="E30" t="str">
        <f>EMPLOYEEDATA!F33</f>
        <v>QUARTERS</v>
      </c>
      <c r="F30">
        <f>SALARY!D31</f>
        <v>48000</v>
      </c>
      <c r="G30">
        <f>SALARY!H31</f>
        <v>54720</v>
      </c>
      <c r="H30">
        <f>SALARY!L31</f>
        <v>8640</v>
      </c>
      <c r="I30">
        <f>SALARYSUMMARY!H30</f>
        <v>46080</v>
      </c>
    </row>
    <row r="31" spans="1:9" x14ac:dyDescent="0.25">
      <c r="A31">
        <v>24</v>
      </c>
      <c r="B31" t="str">
        <f>SALARY!B32</f>
        <v>TOMINWA</v>
      </c>
      <c r="C31" t="str">
        <f>EMPLOYEEDATA!C34</f>
        <v>MALE</v>
      </c>
      <c r="D31" t="str">
        <f>EMPLOYEEDATA!E34</f>
        <v>MARRIED</v>
      </c>
      <c r="E31" t="str">
        <f>EMPLOYEEDATA!F34</f>
        <v>QUARTERS</v>
      </c>
      <c r="F31">
        <f>SALARY!D32</f>
        <v>48000</v>
      </c>
      <c r="G31">
        <f>SALARY!H32</f>
        <v>54720</v>
      </c>
      <c r="H31">
        <f>SALARY!L32</f>
        <v>8640</v>
      </c>
      <c r="I31">
        <f>SALARYSUMMARY!H31</f>
        <v>46080</v>
      </c>
    </row>
    <row r="32" spans="1:9" x14ac:dyDescent="0.25">
      <c r="A32">
        <v>25</v>
      </c>
      <c r="B32" t="str">
        <f>SALARY!B33</f>
        <v>GIFT</v>
      </c>
      <c r="C32" t="str">
        <f>EMPLOYEEDATA!C35</f>
        <v>FEMALE</v>
      </c>
      <c r="D32" t="str">
        <f>EMPLOYEEDATA!E35</f>
        <v>MARRIED</v>
      </c>
      <c r="E32" t="str">
        <f>EMPLOYEEDATA!F35</f>
        <v>QUARTERS</v>
      </c>
      <c r="F32">
        <f>SALARY!D33</f>
        <v>48000</v>
      </c>
      <c r="G32">
        <f>SALARY!H33</f>
        <v>54720</v>
      </c>
      <c r="H32">
        <f>SALARY!L33</f>
        <v>8640</v>
      </c>
      <c r="I32">
        <f>SALARYSUMMARY!H32</f>
        <v>46080</v>
      </c>
    </row>
    <row r="33" spans="1:9" x14ac:dyDescent="0.25">
      <c r="A33">
        <v>26</v>
      </c>
      <c r="B33" t="str">
        <f>SALARY!B34</f>
        <v>FAUSAT</v>
      </c>
      <c r="C33" t="str">
        <f>EMPLOYEEDATA!C36</f>
        <v>FEMALE</v>
      </c>
      <c r="D33" t="str">
        <f>EMPLOYEEDATA!E36</f>
        <v>MARRIED</v>
      </c>
      <c r="E33" t="str">
        <f>EMPLOYEEDATA!F36</f>
        <v>QUARTERS</v>
      </c>
      <c r="F33">
        <f>SALARY!D34</f>
        <v>48000</v>
      </c>
      <c r="G33">
        <f>SALARY!H34</f>
        <v>54720</v>
      </c>
      <c r="H33">
        <f>SALARY!L34</f>
        <v>8640</v>
      </c>
      <c r="I33">
        <f>SALARYSUMMARY!H33</f>
        <v>46080</v>
      </c>
    </row>
    <row r="34" spans="1:9" x14ac:dyDescent="0.25">
      <c r="A34">
        <v>27</v>
      </c>
      <c r="B34" t="str">
        <f>SALARY!B35</f>
        <v>TOYOSI</v>
      </c>
      <c r="C34" t="str">
        <f>EMPLOYEEDATA!C37</f>
        <v>FEMALE</v>
      </c>
      <c r="D34" t="str">
        <f>EMPLOYEEDATA!E37</f>
        <v>MARRIED</v>
      </c>
      <c r="E34" t="str">
        <f>EMPLOYEEDATA!F37</f>
        <v>QUARTERS</v>
      </c>
      <c r="F34">
        <f>SALARY!D35</f>
        <v>48000</v>
      </c>
      <c r="G34">
        <f>SALARY!H35</f>
        <v>54720</v>
      </c>
      <c r="H34">
        <f>SALARY!L35</f>
        <v>8640</v>
      </c>
      <c r="I34">
        <f>SALARYSUMMARY!H34</f>
        <v>46080</v>
      </c>
    </row>
    <row r="35" spans="1:9" x14ac:dyDescent="0.25">
      <c r="A35">
        <v>28</v>
      </c>
      <c r="B35" t="str">
        <f>SALARY!B36</f>
        <v>MOTUN</v>
      </c>
      <c r="C35" t="str">
        <f>EMPLOYEEDATA!C38</f>
        <v>FEMALE</v>
      </c>
      <c r="D35" t="str">
        <f>EMPLOYEEDATA!E38</f>
        <v>MARRIED</v>
      </c>
      <c r="E35" t="str">
        <f>EMPLOYEEDATA!F38</f>
        <v>QUARTERS</v>
      </c>
      <c r="F35">
        <f>SALARY!D36</f>
        <v>48000</v>
      </c>
      <c r="G35">
        <f>SALARY!H36</f>
        <v>54720</v>
      </c>
      <c r="H35">
        <f>SALARY!L36</f>
        <v>8640</v>
      </c>
      <c r="I35">
        <f>SALARYSUMMARY!H35</f>
        <v>46080</v>
      </c>
    </row>
    <row r="36" spans="1:9" x14ac:dyDescent="0.25">
      <c r="A36">
        <v>29</v>
      </c>
      <c r="B36" t="str">
        <f>SALARY!B37</f>
        <v>MOYIN</v>
      </c>
      <c r="C36" t="str">
        <f>EMPLOYEEDATA!C39</f>
        <v>MALE</v>
      </c>
      <c r="D36" t="str">
        <f>EMPLOYEEDATA!E39</f>
        <v>MARRIED</v>
      </c>
      <c r="E36" t="str">
        <f>EMPLOYEEDATA!F39</f>
        <v>QUARTERS</v>
      </c>
      <c r="F36">
        <f>SALARY!D37</f>
        <v>48000</v>
      </c>
      <c r="G36">
        <f>SALARY!H37</f>
        <v>54720</v>
      </c>
      <c r="H36">
        <f>SALARY!L37</f>
        <v>8640</v>
      </c>
      <c r="I36">
        <f>SALARYSUMMARY!H36</f>
        <v>46080</v>
      </c>
    </row>
    <row r="37" spans="1:9" x14ac:dyDescent="0.25">
      <c r="A37">
        <v>30</v>
      </c>
      <c r="B37" t="str">
        <f>SALARY!B38</f>
        <v>ODUN</v>
      </c>
      <c r="C37" t="str">
        <f>EMPLOYEEDATA!C40</f>
        <v>MALE</v>
      </c>
      <c r="D37" t="str">
        <f>EMPLOYEEDATA!E40</f>
        <v>SINGLE</v>
      </c>
      <c r="E37" t="str">
        <f>EMPLOYEEDATA!F40</f>
        <v>QUARTERS</v>
      </c>
      <c r="F37">
        <f>SALARY!D38</f>
        <v>45000</v>
      </c>
      <c r="G37">
        <f>SALARY!H38</f>
        <v>51300</v>
      </c>
      <c r="H37">
        <f>SALARY!L38</f>
        <v>8100</v>
      </c>
      <c r="I37">
        <f>SALARYSUMMARY!H37</f>
        <v>43200</v>
      </c>
    </row>
    <row r="38" spans="1:9" x14ac:dyDescent="0.25">
      <c r="A38">
        <v>31</v>
      </c>
      <c r="B38" t="str">
        <f>SALARY!B39</f>
        <v>YOYIN</v>
      </c>
      <c r="C38" t="str">
        <f>EMPLOYEEDATA!C41</f>
        <v>FEMALE</v>
      </c>
      <c r="D38" t="str">
        <f>EMPLOYEEDATA!E41</f>
        <v>SINGLE</v>
      </c>
      <c r="E38" t="str">
        <f>EMPLOYEEDATA!F41</f>
        <v>OFF QUARTERS</v>
      </c>
      <c r="F38">
        <f>SALARY!D39</f>
        <v>26400</v>
      </c>
      <c r="G38">
        <f>SALARY!H39</f>
        <v>31680</v>
      </c>
      <c r="H38">
        <f>SALARY!L39</f>
        <v>4752</v>
      </c>
      <c r="I38">
        <f>SALARYSUMMARY!H38</f>
        <v>26928</v>
      </c>
    </row>
    <row r="39" spans="1:9" x14ac:dyDescent="0.25">
      <c r="A39">
        <v>32</v>
      </c>
      <c r="B39" t="str">
        <f>SALARY!B40</f>
        <v>OYIN</v>
      </c>
      <c r="C39" t="str">
        <f>EMPLOYEEDATA!C42</f>
        <v>FEMALE</v>
      </c>
      <c r="D39" t="str">
        <f>EMPLOYEEDATA!E42</f>
        <v>MARRIED</v>
      </c>
      <c r="E39" t="str">
        <f>EMPLOYEEDATA!F42</f>
        <v>QUARTERS</v>
      </c>
      <c r="F39">
        <f>SALARY!D40</f>
        <v>48000</v>
      </c>
      <c r="G39">
        <f>SALARY!H40</f>
        <v>54720</v>
      </c>
      <c r="H39">
        <f>SALARY!L40</f>
        <v>8640</v>
      </c>
      <c r="I39">
        <f>SALARYSUMMARY!H39</f>
        <v>46080</v>
      </c>
    </row>
    <row r="40" spans="1:9" x14ac:dyDescent="0.25">
      <c r="A40">
        <v>33</v>
      </c>
      <c r="B40" t="str">
        <f>SALARY!B41</f>
        <v>SOLA</v>
      </c>
      <c r="C40" t="str">
        <f>EMPLOYEEDATA!C43</f>
        <v>FEMALE</v>
      </c>
      <c r="D40" t="str">
        <f>EMPLOYEEDATA!E43</f>
        <v>MARRIED</v>
      </c>
      <c r="E40" t="str">
        <f>EMPLOYEEDATA!F43</f>
        <v>QUARTERS</v>
      </c>
      <c r="F40">
        <f>SALARY!D41</f>
        <v>48000</v>
      </c>
      <c r="G40">
        <f>SALARY!H41</f>
        <v>54720</v>
      </c>
      <c r="H40">
        <f>SALARY!L41</f>
        <v>8640</v>
      </c>
      <c r="I40">
        <f>SALARYSUMMARY!H40</f>
        <v>46080</v>
      </c>
    </row>
    <row r="41" spans="1:9" x14ac:dyDescent="0.25">
      <c r="A41">
        <v>34</v>
      </c>
      <c r="B41" t="str">
        <f>SALARY!B42</f>
        <v>EMMA</v>
      </c>
      <c r="C41" t="str">
        <f>EMPLOYEEDATA!C44</f>
        <v>MALE</v>
      </c>
      <c r="D41" t="str">
        <f>EMPLOYEEDATA!E44</f>
        <v>SINGLE</v>
      </c>
      <c r="E41" t="str">
        <f>EMPLOYEEDATA!F44</f>
        <v>OFF QUARTERS</v>
      </c>
      <c r="F41">
        <f>SALARY!D42</f>
        <v>30800</v>
      </c>
      <c r="G41">
        <f>SALARY!H42</f>
        <v>36960</v>
      </c>
      <c r="H41">
        <f>SALARY!L42</f>
        <v>5544</v>
      </c>
      <c r="I41">
        <f>SALARYSUMMARY!H41</f>
        <v>31416</v>
      </c>
    </row>
    <row r="42" spans="1:9" x14ac:dyDescent="0.25">
      <c r="A42">
        <v>35</v>
      </c>
      <c r="B42" t="str">
        <f>SALARY!B43</f>
        <v>SAM</v>
      </c>
      <c r="C42" t="str">
        <f>EMPLOYEEDATA!C45</f>
        <v>MALE</v>
      </c>
      <c r="D42" t="str">
        <f>EMPLOYEEDATA!E45</f>
        <v>SINGLE</v>
      </c>
      <c r="E42" t="str">
        <f>EMPLOYEEDATA!F45</f>
        <v>OFF QUARTERS</v>
      </c>
      <c r="F42">
        <f>SALARY!D43</f>
        <v>26450</v>
      </c>
      <c r="G42">
        <f>SALARY!H43</f>
        <v>31740</v>
      </c>
      <c r="H42">
        <f>SALARY!L43</f>
        <v>4761</v>
      </c>
      <c r="I42">
        <f>SALARYSUMMARY!H42</f>
        <v>26979</v>
      </c>
    </row>
    <row r="43" spans="1:9" x14ac:dyDescent="0.25">
      <c r="A43">
        <v>36</v>
      </c>
      <c r="B43" t="str">
        <f>SALARY!B44</f>
        <v>SEUN</v>
      </c>
      <c r="C43" t="str">
        <f>EMPLOYEEDATA!C46</f>
        <v>MALE</v>
      </c>
      <c r="D43" t="str">
        <f>EMPLOYEEDATA!E46</f>
        <v>SINGLE</v>
      </c>
      <c r="E43" t="str">
        <f>EMPLOYEEDATA!F46</f>
        <v>OFF QUARTERS</v>
      </c>
      <c r="F43">
        <f>SALARY!D44</f>
        <v>26450</v>
      </c>
      <c r="G43">
        <f>SALARY!H44</f>
        <v>31740</v>
      </c>
      <c r="H43">
        <f>SALARY!L44</f>
        <v>4761</v>
      </c>
      <c r="I43">
        <f>SALARYSUMMARY!H43</f>
        <v>26979</v>
      </c>
    </row>
    <row r="44" spans="1:9" x14ac:dyDescent="0.25">
      <c r="A44">
        <v>37</v>
      </c>
      <c r="B44" t="str">
        <f>SALARY!B45</f>
        <v>JOSEPH</v>
      </c>
      <c r="C44" t="str">
        <f>EMPLOYEEDATA!C47</f>
        <v>MALE</v>
      </c>
      <c r="D44" t="str">
        <f>EMPLOYEEDATA!E47</f>
        <v>SINGLE</v>
      </c>
      <c r="E44" t="str">
        <f>EMPLOYEEDATA!F47</f>
        <v>OFF QUARTERS</v>
      </c>
      <c r="F44">
        <f>SALARY!D45</f>
        <v>48000</v>
      </c>
      <c r="G44">
        <f>SALARY!H45</f>
        <v>57600</v>
      </c>
      <c r="H44">
        <f>SALARY!L45</f>
        <v>8640</v>
      </c>
      <c r="I44">
        <f>SALARYSUMMARY!H44</f>
        <v>48960</v>
      </c>
    </row>
    <row r="45" spans="1:9" x14ac:dyDescent="0.25">
      <c r="A45">
        <v>38</v>
      </c>
      <c r="B45" t="str">
        <f>SALARY!B46</f>
        <v>USMAN</v>
      </c>
      <c r="C45" t="str">
        <f>EMPLOYEEDATA!C48</f>
        <v>MALE</v>
      </c>
      <c r="D45" t="str">
        <f>EMPLOYEEDATA!E48</f>
        <v>SINGLE</v>
      </c>
      <c r="E45" t="str">
        <f>EMPLOYEEDATA!F48</f>
        <v>OFF QUARTERS</v>
      </c>
      <c r="F45">
        <f>SALARY!D46</f>
        <v>48000</v>
      </c>
      <c r="G45">
        <f>SALARY!H46</f>
        <v>57600</v>
      </c>
      <c r="H45">
        <f>SALARY!L46</f>
        <v>8640</v>
      </c>
      <c r="I45">
        <f>SALARYSUMMARY!H45</f>
        <v>48960</v>
      </c>
    </row>
    <row r="46" spans="1:9" x14ac:dyDescent="0.25">
      <c r="A46">
        <v>39</v>
      </c>
      <c r="B46" t="str">
        <f>SALARY!B47</f>
        <v>JAMAL</v>
      </c>
      <c r="C46" t="str">
        <f>EMPLOYEEDATA!C49</f>
        <v>MALE</v>
      </c>
      <c r="D46" t="str">
        <f>EMPLOYEEDATA!E49</f>
        <v>MARRIED</v>
      </c>
      <c r="E46" t="str">
        <f>EMPLOYEEDATA!F49</f>
        <v>QUARTERS</v>
      </c>
      <c r="F46">
        <f>SALARY!D47</f>
        <v>48000</v>
      </c>
      <c r="G46">
        <f>SALARY!H47</f>
        <v>54720</v>
      </c>
      <c r="H46">
        <f>SALARY!L47</f>
        <v>8640</v>
      </c>
      <c r="I46">
        <f>SALARYSUMMARY!H46</f>
        <v>46080</v>
      </c>
    </row>
    <row r="47" spans="1:9" x14ac:dyDescent="0.25">
      <c r="A47">
        <v>40</v>
      </c>
      <c r="B47" t="str">
        <f>SALARY!B48</f>
        <v>TOSIN</v>
      </c>
      <c r="C47" t="str">
        <f>EMPLOYEEDATA!C50</f>
        <v>MALE</v>
      </c>
      <c r="D47" t="str">
        <f>EMPLOYEEDATA!E50</f>
        <v>MARRIED</v>
      </c>
      <c r="E47" t="str">
        <f>EMPLOYEEDATA!F50</f>
        <v>QUARTERS</v>
      </c>
      <c r="F47">
        <f>SALARY!D48</f>
        <v>48000</v>
      </c>
      <c r="G47">
        <f>SALARY!H48</f>
        <v>54720</v>
      </c>
      <c r="H47">
        <f>SALARY!L48</f>
        <v>8640</v>
      </c>
      <c r="I47">
        <f>SALARYSUMMARY!H47</f>
        <v>46080</v>
      </c>
    </row>
    <row r="48" spans="1:9" x14ac:dyDescent="0.25">
      <c r="A48">
        <v>41</v>
      </c>
      <c r="B48" t="str">
        <f>SALARY!B49</f>
        <v>PELUMI</v>
      </c>
      <c r="C48" t="str">
        <f>EMPLOYEEDATA!C51</f>
        <v>FEMALE</v>
      </c>
      <c r="D48" t="str">
        <f>EMPLOYEEDATA!E51</f>
        <v>SINGLE</v>
      </c>
      <c r="E48" t="str">
        <f>EMPLOYEEDATA!F51</f>
        <v>QUARTERS</v>
      </c>
      <c r="F48">
        <f>SALARY!D49</f>
        <v>45000</v>
      </c>
      <c r="G48">
        <f>SALARY!H49</f>
        <v>51300</v>
      </c>
      <c r="H48">
        <f>SALARY!L49</f>
        <v>8100</v>
      </c>
      <c r="I48">
        <f>SALARYSUMMARY!H48</f>
        <v>43200</v>
      </c>
    </row>
    <row r="49" spans="1:9" x14ac:dyDescent="0.25">
      <c r="A49">
        <v>42</v>
      </c>
      <c r="B49" t="str">
        <f>SALARY!B50</f>
        <v>FERANMI</v>
      </c>
      <c r="C49" t="str">
        <f>EMPLOYEEDATA!C52</f>
        <v>FEMALE</v>
      </c>
      <c r="D49" t="str">
        <f>EMPLOYEEDATA!E52</f>
        <v>SINGLE</v>
      </c>
      <c r="E49" t="str">
        <f>EMPLOYEEDATA!F52</f>
        <v>OFF QUARTERS</v>
      </c>
      <c r="F49">
        <f>SALARY!D50</f>
        <v>48000</v>
      </c>
      <c r="G49">
        <f>SALARY!H50</f>
        <v>57600</v>
      </c>
      <c r="H49">
        <f>SALARY!L50</f>
        <v>8640</v>
      </c>
      <c r="I49">
        <f>SALARYSUMMARY!H49</f>
        <v>48960</v>
      </c>
    </row>
    <row r="50" spans="1:9" x14ac:dyDescent="0.25">
      <c r="A50">
        <v>43</v>
      </c>
      <c r="B50" t="str">
        <f>SALARY!B51</f>
        <v>MARVY</v>
      </c>
      <c r="C50" t="str">
        <f>EMPLOYEEDATA!C53</f>
        <v>FEMALE</v>
      </c>
      <c r="D50" t="str">
        <f>EMPLOYEEDATA!E53</f>
        <v>SINGLE</v>
      </c>
      <c r="E50" t="str">
        <f>EMPLOYEEDATA!F53</f>
        <v>OFF QUARTERS</v>
      </c>
      <c r="F50">
        <f>SALARY!D51</f>
        <v>26400</v>
      </c>
      <c r="G50">
        <f>SALARY!H51</f>
        <v>31680</v>
      </c>
      <c r="H50">
        <f>SALARY!L51</f>
        <v>4752</v>
      </c>
      <c r="I50">
        <f>SALARYSUMMARY!H50</f>
        <v>26928</v>
      </c>
    </row>
    <row r="51" spans="1:9" x14ac:dyDescent="0.25">
      <c r="A51">
        <v>44</v>
      </c>
      <c r="B51" t="str">
        <f>SALARY!B52</f>
        <v>FAVOUR</v>
      </c>
      <c r="C51" t="str">
        <f>EMPLOYEEDATA!C54</f>
        <v>FEMALE</v>
      </c>
      <c r="D51" t="str">
        <f>EMPLOYEEDATA!E54</f>
        <v>MARRIED</v>
      </c>
      <c r="E51" t="str">
        <f>EMPLOYEEDATA!F54</f>
        <v>QUARTERS</v>
      </c>
      <c r="F51">
        <f>SALARY!D52</f>
        <v>48000</v>
      </c>
      <c r="G51">
        <f>SALARY!H52</f>
        <v>54720</v>
      </c>
      <c r="H51">
        <f>SALARY!L52</f>
        <v>8640</v>
      </c>
      <c r="I51">
        <f>SALARYSUMMARY!H51</f>
        <v>46080</v>
      </c>
    </row>
    <row r="52" spans="1:9" x14ac:dyDescent="0.25">
      <c r="A52">
        <v>45</v>
      </c>
      <c r="B52" t="str">
        <f>SALARY!B53</f>
        <v>LOLA</v>
      </c>
      <c r="C52" t="str">
        <f>EMPLOYEEDATA!C55</f>
        <v>FEMALE</v>
      </c>
      <c r="D52" t="str">
        <f>EMPLOYEEDATA!E55</f>
        <v>MARRIED</v>
      </c>
      <c r="E52" t="str">
        <f>EMPLOYEEDATA!F55</f>
        <v>QUARTERS</v>
      </c>
      <c r="F52">
        <f>SALARY!D53</f>
        <v>48000</v>
      </c>
      <c r="G52">
        <f>SALARY!H53</f>
        <v>54720</v>
      </c>
      <c r="H52">
        <f>SALARY!L53</f>
        <v>8640</v>
      </c>
      <c r="I52">
        <f>SALARYSUMMARY!H52</f>
        <v>46080</v>
      </c>
    </row>
    <row r="53" spans="1:9" x14ac:dyDescent="0.25">
      <c r="A53">
        <v>46</v>
      </c>
      <c r="B53" t="str">
        <f>SALARY!B54</f>
        <v>DAMI</v>
      </c>
      <c r="C53" t="str">
        <f>EMPLOYEEDATA!C56</f>
        <v>FEMALE</v>
      </c>
      <c r="D53" t="str">
        <f>EMPLOYEEDATA!E56</f>
        <v>SINGLE</v>
      </c>
      <c r="E53" t="str">
        <f>EMPLOYEEDATA!F56</f>
        <v>OFF QUARTERS</v>
      </c>
      <c r="F53">
        <f>SALARY!D54</f>
        <v>30800</v>
      </c>
      <c r="G53">
        <f>SALARY!H54</f>
        <v>36960</v>
      </c>
      <c r="H53">
        <f>SALARY!L54</f>
        <v>5544</v>
      </c>
      <c r="I53">
        <f>SALARYSUMMARY!H53</f>
        <v>31416</v>
      </c>
    </row>
    <row r="54" spans="1:9" x14ac:dyDescent="0.25">
      <c r="A54">
        <v>47</v>
      </c>
      <c r="B54" t="str">
        <f>SALARY!B55</f>
        <v>TOMI</v>
      </c>
      <c r="C54" t="str">
        <f>EMPLOYEEDATA!C57</f>
        <v>FEMALE</v>
      </c>
      <c r="D54" t="str">
        <f>EMPLOYEEDATA!E57</f>
        <v>MARRIED</v>
      </c>
      <c r="E54" t="str">
        <f>EMPLOYEEDATA!F57</f>
        <v>QUARTERS</v>
      </c>
      <c r="F54">
        <f>SALARY!D55</f>
        <v>48000</v>
      </c>
      <c r="G54">
        <f>SALARY!H55</f>
        <v>54720</v>
      </c>
      <c r="H54">
        <f>SALARY!L55</f>
        <v>8640</v>
      </c>
      <c r="I54">
        <f>SALARYSUMMARY!H54</f>
        <v>46080</v>
      </c>
    </row>
    <row r="55" spans="1:9" x14ac:dyDescent="0.25">
      <c r="A55">
        <v>48</v>
      </c>
      <c r="B55" t="str">
        <f>SALARY!B56</f>
        <v>HAPINESS</v>
      </c>
      <c r="C55" t="str">
        <f>EMPLOYEEDATA!C58</f>
        <v>FEMALE</v>
      </c>
      <c r="D55" t="str">
        <f>EMPLOYEEDATA!E58</f>
        <v>MARRIED</v>
      </c>
      <c r="E55" t="str">
        <f>EMPLOYEEDATA!F58</f>
        <v>QUARTERS</v>
      </c>
      <c r="F55">
        <f>SALARY!D56</f>
        <v>48000</v>
      </c>
      <c r="G55">
        <f>SALARY!H56</f>
        <v>54720</v>
      </c>
      <c r="H55">
        <f>SALARY!L56</f>
        <v>8640</v>
      </c>
      <c r="I55">
        <f>SALARYSUMMARY!H55</f>
        <v>46080</v>
      </c>
    </row>
    <row r="56" spans="1:9" x14ac:dyDescent="0.25">
      <c r="A56">
        <v>49</v>
      </c>
      <c r="B56" t="str">
        <f>SALARY!B57</f>
        <v>PRINCESS</v>
      </c>
      <c r="C56" t="str">
        <f>EMPLOYEEDATA!C59</f>
        <v>FEMALE</v>
      </c>
      <c r="D56" t="str">
        <f>EMPLOYEEDATA!E59</f>
        <v>MARRIED</v>
      </c>
      <c r="E56" t="str">
        <f>EMPLOYEEDATA!F59</f>
        <v>QUARTERS</v>
      </c>
      <c r="F56">
        <f>SALARY!D57</f>
        <v>48000</v>
      </c>
      <c r="G56">
        <f>SALARY!H57</f>
        <v>54720</v>
      </c>
      <c r="H56">
        <f>SALARY!L57</f>
        <v>8640</v>
      </c>
      <c r="I56">
        <f>SALARYSUMMARY!H56</f>
        <v>46080</v>
      </c>
    </row>
    <row r="57" spans="1:9" x14ac:dyDescent="0.25">
      <c r="A57">
        <v>50</v>
      </c>
      <c r="B57" t="str">
        <f>SALARY!B58</f>
        <v>QUEEN</v>
      </c>
      <c r="C57" t="str">
        <f>EMPLOYEEDATA!C60</f>
        <v>FEMALE</v>
      </c>
      <c r="D57" t="str">
        <f>EMPLOYEEDATA!E60</f>
        <v>MARRIED</v>
      </c>
      <c r="E57" t="str">
        <f>EMPLOYEEDATA!F60</f>
        <v>QUARTERS</v>
      </c>
      <c r="F57">
        <f>SALARY!D58</f>
        <v>48000</v>
      </c>
      <c r="G57">
        <f>SALARY!H58</f>
        <v>54720</v>
      </c>
      <c r="H57">
        <f>SALARY!L58</f>
        <v>8640</v>
      </c>
      <c r="I57">
        <f>SALARYSUMMARY!H57</f>
        <v>46080</v>
      </c>
    </row>
    <row r="58" spans="1:9" x14ac:dyDescent="0.25">
      <c r="A58">
        <v>51</v>
      </c>
      <c r="B58" t="str">
        <f>SALARY!B59</f>
        <v>GREATNESS</v>
      </c>
      <c r="C58" t="str">
        <f>EMPLOYEEDATA!C61</f>
        <v>MALE</v>
      </c>
      <c r="D58" t="str">
        <f>EMPLOYEEDATA!E61</f>
        <v>MARRIED</v>
      </c>
      <c r="E58" t="str">
        <f>EMPLOYEEDATA!F61</f>
        <v>QUARTERS</v>
      </c>
      <c r="F58">
        <f>SALARY!D59</f>
        <v>48000</v>
      </c>
      <c r="G58">
        <f>SALARY!H59</f>
        <v>54720</v>
      </c>
      <c r="H58">
        <f>SALARY!L59</f>
        <v>8640</v>
      </c>
      <c r="I58">
        <f>SALARYSUMMARY!H58</f>
        <v>46080</v>
      </c>
    </row>
    <row r="59" spans="1:9" x14ac:dyDescent="0.25">
      <c r="A59">
        <v>52</v>
      </c>
      <c r="B59" t="str">
        <f>SALARY!B60</f>
        <v>KUKU</v>
      </c>
      <c r="C59" t="str">
        <f>EMPLOYEEDATA!C62</f>
        <v>MALE</v>
      </c>
      <c r="D59" t="str">
        <f>EMPLOYEEDATA!E62</f>
        <v>MARRIED</v>
      </c>
      <c r="E59" t="str">
        <f>EMPLOYEEDATA!F62</f>
        <v>QUARTERS</v>
      </c>
      <c r="F59">
        <f>SALARY!D60</f>
        <v>48000</v>
      </c>
      <c r="G59">
        <f>SALARY!H60</f>
        <v>54720</v>
      </c>
      <c r="H59">
        <f>SALARY!L60</f>
        <v>8640</v>
      </c>
      <c r="I59">
        <f>SALARYSUMMARY!H59</f>
        <v>46080</v>
      </c>
    </row>
    <row r="60" spans="1:9" x14ac:dyDescent="0.25">
      <c r="A60">
        <v>53</v>
      </c>
      <c r="B60" t="str">
        <f>SALARY!B61</f>
        <v>SUNKANMI</v>
      </c>
      <c r="C60" t="str">
        <f>EMPLOYEEDATA!C63</f>
        <v>MALE</v>
      </c>
      <c r="D60" t="str">
        <f>EMPLOYEEDATA!E63</f>
        <v>MARRIED</v>
      </c>
      <c r="E60" t="str">
        <f>EMPLOYEEDATA!F63</f>
        <v>QUARTERS</v>
      </c>
      <c r="F60">
        <f>SALARY!D61</f>
        <v>48000</v>
      </c>
      <c r="G60">
        <f>SALARY!H61</f>
        <v>54720</v>
      </c>
      <c r="H60">
        <f>SALARY!L61</f>
        <v>8640</v>
      </c>
      <c r="I60">
        <f>SALARYSUMMARY!H60</f>
        <v>46080</v>
      </c>
    </row>
    <row r="61" spans="1:9" x14ac:dyDescent="0.25">
      <c r="A61">
        <v>54</v>
      </c>
      <c r="B61" t="str">
        <f>SALARY!B62</f>
        <v>OYEDEJI</v>
      </c>
      <c r="C61" t="str">
        <f>EMPLOYEEDATA!C64</f>
        <v>MALE</v>
      </c>
      <c r="D61" t="str">
        <f>EMPLOYEEDATA!E64</f>
        <v>SINGLE</v>
      </c>
      <c r="E61" t="str">
        <f>EMPLOYEEDATA!F64</f>
        <v>OFF QUARTERS</v>
      </c>
      <c r="F61">
        <f>SALARY!D62</f>
        <v>26400</v>
      </c>
      <c r="G61">
        <f>SALARY!H62</f>
        <v>31680</v>
      </c>
      <c r="H61">
        <f>SALARY!L62</f>
        <v>4752</v>
      </c>
      <c r="I61">
        <f>SALARYSUMMARY!H61</f>
        <v>26928</v>
      </c>
    </row>
    <row r="62" spans="1:9" x14ac:dyDescent="0.25">
      <c r="A62">
        <v>55</v>
      </c>
      <c r="B62" t="str">
        <f>SALARY!B63</f>
        <v>ODUWOLE</v>
      </c>
      <c r="C62" t="str">
        <f>EMPLOYEEDATA!C65</f>
        <v>MALE</v>
      </c>
      <c r="D62" t="str">
        <f>EMPLOYEEDATA!E65</f>
        <v>SINGLE</v>
      </c>
      <c r="E62" t="str">
        <f>EMPLOYEEDATA!F65</f>
        <v>OFF QUARTERS</v>
      </c>
      <c r="F62">
        <f>SALARY!D63</f>
        <v>26450</v>
      </c>
      <c r="G62">
        <f>SALARY!H63</f>
        <v>31740</v>
      </c>
      <c r="H62">
        <f>SALARY!L63</f>
        <v>4761</v>
      </c>
      <c r="I62">
        <f>SALARYSUMMARY!H62</f>
        <v>26979</v>
      </c>
    </row>
    <row r="63" spans="1:9" x14ac:dyDescent="0.25">
      <c r="A63">
        <v>56</v>
      </c>
      <c r="B63" t="str">
        <f>SALARY!B64</f>
        <v>FEMI</v>
      </c>
      <c r="C63" t="str">
        <f>EMPLOYEEDATA!C66</f>
        <v>MALE</v>
      </c>
      <c r="D63" t="str">
        <f>EMPLOYEEDATA!E66</f>
        <v>MARRIED</v>
      </c>
      <c r="E63" t="str">
        <f>EMPLOYEEDATA!F66</f>
        <v>QUARTERS</v>
      </c>
      <c r="F63">
        <f>SALARY!D64</f>
        <v>48000</v>
      </c>
      <c r="G63">
        <f>SALARY!H64</f>
        <v>54720</v>
      </c>
      <c r="H63">
        <f>SALARY!L64</f>
        <v>8640</v>
      </c>
      <c r="I63">
        <f>SALARYSUMMARY!H63</f>
        <v>46080</v>
      </c>
    </row>
    <row r="64" spans="1:9" x14ac:dyDescent="0.25">
      <c r="A64">
        <v>57</v>
      </c>
      <c r="B64" t="str">
        <f>SALARY!B65</f>
        <v>KEMI</v>
      </c>
      <c r="C64" t="str">
        <f>EMPLOYEEDATA!C67</f>
        <v>FEMALE</v>
      </c>
      <c r="D64" t="str">
        <f>EMPLOYEEDATA!E67</f>
        <v>SINGLE</v>
      </c>
      <c r="E64" t="str">
        <f>EMPLOYEEDATA!F67</f>
        <v>OFF QUARTERS</v>
      </c>
      <c r="F64">
        <f>SALARY!D65</f>
        <v>30800</v>
      </c>
      <c r="G64">
        <f>SALARY!H65</f>
        <v>36960</v>
      </c>
      <c r="H64">
        <f>SALARY!L65</f>
        <v>5544</v>
      </c>
      <c r="I64">
        <f>SALARYSUMMARY!H64</f>
        <v>31416</v>
      </c>
    </row>
    <row r="65" spans="1:9" x14ac:dyDescent="0.25">
      <c r="A65">
        <v>58</v>
      </c>
      <c r="B65" t="str">
        <f>SALARY!B66</f>
        <v>TOLANI</v>
      </c>
      <c r="C65" t="str">
        <f>EMPLOYEEDATA!C68</f>
        <v>FEMALE</v>
      </c>
      <c r="D65" t="str">
        <f>EMPLOYEEDATA!E68</f>
        <v>SINGLE</v>
      </c>
      <c r="E65" t="str">
        <f>EMPLOYEEDATA!F68</f>
        <v>OFF QUARTERS</v>
      </c>
      <c r="F65">
        <f>SALARY!D66</f>
        <v>48000</v>
      </c>
      <c r="G65">
        <f>SALARY!H66</f>
        <v>57600</v>
      </c>
      <c r="H65">
        <f>SALARY!L66</f>
        <v>8640</v>
      </c>
      <c r="I65">
        <f>SALARYSUMMARY!H65</f>
        <v>48960</v>
      </c>
    </row>
    <row r="66" spans="1:9" x14ac:dyDescent="0.25">
      <c r="A66">
        <v>59</v>
      </c>
      <c r="B66" t="str">
        <f>SALARY!B67</f>
        <v>ENIOLA</v>
      </c>
      <c r="C66" t="str">
        <f>EMPLOYEEDATA!C69</f>
        <v>FEMALE</v>
      </c>
      <c r="D66" t="str">
        <f>EMPLOYEEDATA!E69</f>
        <v>SINGLE</v>
      </c>
      <c r="E66" t="str">
        <f>EMPLOYEEDATA!F69</f>
        <v>OFF QUARTERS</v>
      </c>
      <c r="F66">
        <f>SALARY!D67</f>
        <v>48000</v>
      </c>
      <c r="G66">
        <f>SALARY!H67</f>
        <v>57600</v>
      </c>
      <c r="H66">
        <f>SALARY!L67</f>
        <v>8640</v>
      </c>
      <c r="I66">
        <f>SALARYSUMMARY!H66</f>
        <v>48960</v>
      </c>
    </row>
    <row r="67" spans="1:9" x14ac:dyDescent="0.25">
      <c r="A67">
        <v>60</v>
      </c>
      <c r="B67" t="str">
        <f>SALARY!B68</f>
        <v>VICKY</v>
      </c>
      <c r="C67" t="str">
        <f>EMPLOYEEDATA!C70</f>
        <v>FEMALE</v>
      </c>
      <c r="D67" t="str">
        <f>EMPLOYEEDATA!E70</f>
        <v>SINGLE</v>
      </c>
      <c r="E67" t="str">
        <f>EMPLOYEEDATA!F70</f>
        <v>OFF QUARTERS</v>
      </c>
      <c r="F67">
        <f>SALARY!D68</f>
        <v>48000</v>
      </c>
      <c r="G67">
        <f>SALARY!H68</f>
        <v>57600</v>
      </c>
      <c r="H67">
        <f>SALARY!L68</f>
        <v>8640</v>
      </c>
      <c r="I67">
        <f>SALARYSUMMARY!H67</f>
        <v>48960</v>
      </c>
    </row>
    <row r="68" spans="1:9" x14ac:dyDescent="0.25">
      <c r="A68">
        <v>61</v>
      </c>
      <c r="B68" t="str">
        <f>SALARY!B69</f>
        <v>ESSIE</v>
      </c>
      <c r="C68" t="str">
        <f>EMPLOYEEDATA!C71</f>
        <v>FEMALE</v>
      </c>
      <c r="D68" t="str">
        <f>EMPLOYEEDATA!E71</f>
        <v>SINGLE</v>
      </c>
      <c r="E68" t="str">
        <f>EMPLOYEEDATA!F71</f>
        <v>OFF QUARTERS</v>
      </c>
      <c r="F68">
        <f>SALARY!D69</f>
        <v>48000</v>
      </c>
      <c r="G68">
        <f>SALARY!H69</f>
        <v>57600</v>
      </c>
      <c r="H68">
        <f>SALARY!L69</f>
        <v>8640</v>
      </c>
      <c r="I68">
        <f>SALARYSUMMARY!H68</f>
        <v>48960</v>
      </c>
    </row>
    <row r="69" spans="1:9" x14ac:dyDescent="0.25">
      <c r="A69">
        <v>62</v>
      </c>
      <c r="B69" t="str">
        <f>SALARY!B70</f>
        <v>ELIZABETH</v>
      </c>
      <c r="C69" t="str">
        <f>EMPLOYEEDATA!C72</f>
        <v>FEMALE</v>
      </c>
      <c r="D69" t="str">
        <f>EMPLOYEEDATA!E72</f>
        <v>SINGLE</v>
      </c>
      <c r="E69" t="str">
        <f>EMPLOYEEDATA!F72</f>
        <v>QUARTERS</v>
      </c>
      <c r="F69">
        <f>SALARY!D70</f>
        <v>45000</v>
      </c>
      <c r="G69">
        <f>SALARY!H70</f>
        <v>51300</v>
      </c>
      <c r="H69">
        <f>SALARY!L70</f>
        <v>8100</v>
      </c>
      <c r="I69">
        <f>SALARYSUMMARY!H69</f>
        <v>43200</v>
      </c>
    </row>
    <row r="70" spans="1:9" x14ac:dyDescent="0.25">
      <c r="A70">
        <v>63</v>
      </c>
      <c r="B70" t="str">
        <f>SALARY!B71</f>
        <v>LOVETH</v>
      </c>
      <c r="C70" t="str">
        <f>EMPLOYEEDATA!C73</f>
        <v>FEMALE</v>
      </c>
      <c r="D70" t="str">
        <f>EMPLOYEEDATA!E73</f>
        <v>MARRIED</v>
      </c>
      <c r="E70" t="str">
        <f>EMPLOYEEDATA!F73</f>
        <v>QUARTERS</v>
      </c>
      <c r="F70">
        <f>SALARY!D71</f>
        <v>48000</v>
      </c>
      <c r="G70">
        <f>SALARY!H71</f>
        <v>54720</v>
      </c>
      <c r="H70">
        <f>SALARY!L71</f>
        <v>8640</v>
      </c>
      <c r="I70">
        <f>SALARYSUMMARY!H70</f>
        <v>46080</v>
      </c>
    </row>
    <row r="71" spans="1:9" x14ac:dyDescent="0.25">
      <c r="A71">
        <v>64</v>
      </c>
      <c r="B71" t="str">
        <f>SALARY!B72</f>
        <v>NIFEMI</v>
      </c>
      <c r="C71" t="str">
        <f>EMPLOYEEDATA!C74</f>
        <v>FEMALE</v>
      </c>
      <c r="D71" t="str">
        <f>EMPLOYEEDATA!E74</f>
        <v>MARRIED</v>
      </c>
      <c r="E71" t="str">
        <f>EMPLOYEEDATA!F74</f>
        <v>QUARTERS</v>
      </c>
      <c r="F71">
        <f>SALARY!D72</f>
        <v>48000</v>
      </c>
      <c r="G71">
        <f>SALARY!H72</f>
        <v>54720</v>
      </c>
      <c r="H71">
        <f>SALARY!L72</f>
        <v>8640</v>
      </c>
      <c r="I71">
        <f>SALARYSUMMARY!H71</f>
        <v>46080</v>
      </c>
    </row>
    <row r="72" spans="1:9" x14ac:dyDescent="0.25">
      <c r="A72">
        <v>65</v>
      </c>
      <c r="B72" t="str">
        <f>SALARY!B73</f>
        <v>BANKOLE</v>
      </c>
      <c r="C72" t="str">
        <f>EMPLOYEEDATA!C75</f>
        <v>MALE</v>
      </c>
      <c r="D72" t="str">
        <f>EMPLOYEEDATA!E75</f>
        <v>MARRIED</v>
      </c>
      <c r="E72" t="str">
        <f>EMPLOYEEDATA!F75</f>
        <v>QUARTERS</v>
      </c>
      <c r="F72">
        <f>SALARY!D73</f>
        <v>48000</v>
      </c>
      <c r="G72">
        <f>SALARY!H73</f>
        <v>54720</v>
      </c>
      <c r="H72">
        <f>SALARY!L73</f>
        <v>8640</v>
      </c>
      <c r="I72">
        <f>SALARYSUMMARY!H72</f>
        <v>46080</v>
      </c>
    </row>
    <row r="73" spans="1:9" x14ac:dyDescent="0.25">
      <c r="A73">
        <v>66</v>
      </c>
      <c r="B73" t="str">
        <f>SALARY!B74</f>
        <v>JOHN</v>
      </c>
      <c r="C73" t="str">
        <f>EMPLOYEEDATA!C76</f>
        <v>MALE</v>
      </c>
      <c r="D73" t="str">
        <f>EMPLOYEEDATA!E76</f>
        <v>MARRIED</v>
      </c>
      <c r="E73" t="str">
        <f>EMPLOYEEDATA!F76</f>
        <v>QUARTERS</v>
      </c>
      <c r="F73">
        <f>SALARY!D74</f>
        <v>48000</v>
      </c>
      <c r="G73">
        <f>SALARY!H74</f>
        <v>54720</v>
      </c>
      <c r="H73">
        <f>SALARY!L74</f>
        <v>8640</v>
      </c>
      <c r="I73">
        <f>SALARYSUMMARY!H73</f>
        <v>46080</v>
      </c>
    </row>
    <row r="74" spans="1:9" x14ac:dyDescent="0.25">
      <c r="A74">
        <v>67</v>
      </c>
      <c r="B74" t="str">
        <f>SALARY!B75</f>
        <v>TOLU</v>
      </c>
      <c r="C74" t="str">
        <f>EMPLOYEEDATA!C77</f>
        <v>MALE</v>
      </c>
      <c r="D74" t="str">
        <f>EMPLOYEEDATA!E77</f>
        <v>MARRIED</v>
      </c>
      <c r="E74" t="str">
        <f>EMPLOYEEDATA!F77</f>
        <v>QUARTERS</v>
      </c>
      <c r="F74">
        <f>SALARY!D75</f>
        <v>48000</v>
      </c>
      <c r="G74">
        <f>SALARY!H75</f>
        <v>54720</v>
      </c>
      <c r="H74">
        <f>SALARY!L75</f>
        <v>8640</v>
      </c>
      <c r="I74">
        <f>SALARYSUMMARY!H74</f>
        <v>46080</v>
      </c>
    </row>
    <row r="75" spans="1:9" x14ac:dyDescent="0.25">
      <c r="A75">
        <v>68</v>
      </c>
      <c r="B75" t="str">
        <f>SALARY!B76</f>
        <v>TAYO</v>
      </c>
      <c r="C75" t="str">
        <f>EMPLOYEEDATA!C78</f>
        <v>MALE</v>
      </c>
      <c r="D75" t="str">
        <f>EMPLOYEEDATA!E78</f>
        <v>SINGLE</v>
      </c>
      <c r="E75" t="str">
        <f>EMPLOYEEDATA!F78</f>
        <v>OFF QUARTERS</v>
      </c>
      <c r="F75">
        <f>SALARY!D76</f>
        <v>30800</v>
      </c>
      <c r="G75">
        <f>SALARY!H76</f>
        <v>36960</v>
      </c>
      <c r="H75">
        <f>SALARY!L76</f>
        <v>5544</v>
      </c>
      <c r="I75">
        <f>SALARYSUMMARY!H75</f>
        <v>31416</v>
      </c>
    </row>
    <row r="76" spans="1:9" x14ac:dyDescent="0.25">
      <c r="A76">
        <v>69</v>
      </c>
      <c r="B76" t="str">
        <f>SALARY!B77</f>
        <v>YEMI</v>
      </c>
      <c r="C76" t="str">
        <f>EMPLOYEEDATA!C79</f>
        <v>MALE</v>
      </c>
      <c r="D76" t="str">
        <f>EMPLOYEEDATA!E79</f>
        <v>SINGLE</v>
      </c>
      <c r="E76" t="str">
        <f>EMPLOYEEDATA!F79</f>
        <v>OFF QUARTERS</v>
      </c>
      <c r="F76">
        <f>SALARY!D77</f>
        <v>48000</v>
      </c>
      <c r="G76">
        <f>SALARY!H77</f>
        <v>57600</v>
      </c>
      <c r="H76">
        <f>SALARY!L77</f>
        <v>8640</v>
      </c>
      <c r="I76">
        <f>SALARYSUMMARY!H76</f>
        <v>48960</v>
      </c>
    </row>
    <row r="77" spans="1:9" x14ac:dyDescent="0.25">
      <c r="A77">
        <v>70</v>
      </c>
      <c r="B77" t="str">
        <f>SALARY!B78</f>
        <v>AYOBAMI</v>
      </c>
      <c r="C77" t="str">
        <f>EMPLOYEEDATA!C80</f>
        <v>MALE</v>
      </c>
      <c r="D77" t="str">
        <f>EMPLOYEEDATA!E80</f>
        <v>SINGLE</v>
      </c>
      <c r="E77" t="str">
        <f>EMPLOYEEDATA!F80</f>
        <v>OFF QUARTERS</v>
      </c>
      <c r="F77">
        <f>SALARY!D78</f>
        <v>48000</v>
      </c>
      <c r="G77">
        <f>SALARY!H78</f>
        <v>57600</v>
      </c>
      <c r="H77">
        <f>SALARY!L78</f>
        <v>8640</v>
      </c>
      <c r="I77">
        <f>SALARYSUMMARY!H77</f>
        <v>48960</v>
      </c>
    </row>
    <row r="78" spans="1:9" x14ac:dyDescent="0.25">
      <c r="A78">
        <v>71</v>
      </c>
      <c r="B78" t="str">
        <f>SALARY!B79</f>
        <v>DOYIN</v>
      </c>
      <c r="C78" t="str">
        <f>EMPLOYEEDATA!C81</f>
        <v>MALE</v>
      </c>
      <c r="D78" t="str">
        <f>EMPLOYEEDATA!E81</f>
        <v>SINGLE</v>
      </c>
      <c r="E78" t="str">
        <f>EMPLOYEEDATA!F81</f>
        <v>OFF QUARTERS</v>
      </c>
      <c r="F78">
        <f>SALARY!D79</f>
        <v>26400</v>
      </c>
      <c r="G78">
        <f>SALARY!H79</f>
        <v>31680</v>
      </c>
      <c r="H78">
        <f>SALARY!L79</f>
        <v>4752</v>
      </c>
      <c r="I78">
        <f>SALARYSUMMARY!H78</f>
        <v>26928</v>
      </c>
    </row>
    <row r="79" spans="1:9" x14ac:dyDescent="0.25">
      <c r="A79">
        <v>72</v>
      </c>
      <c r="B79" t="str">
        <f>SALARY!B80</f>
        <v>FESTUS</v>
      </c>
      <c r="C79" t="str">
        <f>EMPLOYEEDATA!C82</f>
        <v>MALE</v>
      </c>
      <c r="D79" t="str">
        <f>EMPLOYEEDATA!E82</f>
        <v>SINGLE</v>
      </c>
      <c r="E79" t="str">
        <f>EMPLOYEEDATA!F82</f>
        <v>QUARTERS</v>
      </c>
      <c r="F79">
        <f>SALARY!D80</f>
        <v>45000</v>
      </c>
      <c r="G79">
        <f>SALARY!H80</f>
        <v>51300</v>
      </c>
      <c r="H79">
        <f>SALARY!L80</f>
        <v>8100</v>
      </c>
      <c r="I79">
        <f>SALARYSUMMARY!H79</f>
        <v>43200</v>
      </c>
    </row>
    <row r="80" spans="1:9" x14ac:dyDescent="0.25">
      <c r="A80">
        <v>73</v>
      </c>
      <c r="B80" t="str">
        <f>SALARY!B81</f>
        <v>SEGUN</v>
      </c>
      <c r="C80" t="str">
        <f>EMPLOYEEDATA!C83</f>
        <v>MALE</v>
      </c>
      <c r="D80" t="str">
        <f>EMPLOYEEDATA!E83</f>
        <v>SINGLE</v>
      </c>
      <c r="E80" t="str">
        <f>EMPLOYEEDATA!F83</f>
        <v>OFF QUARTERS</v>
      </c>
      <c r="F80">
        <f>SALARY!D81</f>
        <v>48000</v>
      </c>
      <c r="G80">
        <f>SALARY!H81</f>
        <v>57600</v>
      </c>
      <c r="H80">
        <f>SALARY!L81</f>
        <v>8640</v>
      </c>
      <c r="I80">
        <f>SALARYSUMMARY!H80</f>
        <v>48960</v>
      </c>
    </row>
    <row r="81" spans="1:9" x14ac:dyDescent="0.25">
      <c r="A81">
        <v>74</v>
      </c>
      <c r="B81" t="str">
        <f>SALARY!B82</f>
        <v>FUNMI</v>
      </c>
      <c r="C81" t="str">
        <f>EMPLOYEEDATA!C84</f>
        <v>FEMALE</v>
      </c>
      <c r="D81" t="str">
        <f>EMPLOYEEDATA!E84</f>
        <v>MARRIED</v>
      </c>
      <c r="E81" t="str">
        <f>EMPLOYEEDATA!F84</f>
        <v>QUARTERS</v>
      </c>
      <c r="F81">
        <f>SALARY!D82</f>
        <v>48000</v>
      </c>
      <c r="G81">
        <f>SALARY!H82</f>
        <v>54720</v>
      </c>
      <c r="H81">
        <f>SALARY!L82</f>
        <v>8640</v>
      </c>
      <c r="I81">
        <f>SALARYSUMMARY!H81</f>
        <v>46080</v>
      </c>
    </row>
    <row r="82" spans="1:9" x14ac:dyDescent="0.25">
      <c r="A82">
        <v>75</v>
      </c>
      <c r="B82" t="str">
        <f>SALARY!B83</f>
        <v>FARIDAT</v>
      </c>
      <c r="C82" t="str">
        <f>EMPLOYEEDATA!C85</f>
        <v>FEMALE</v>
      </c>
      <c r="D82" t="str">
        <f>EMPLOYEEDATA!E85</f>
        <v>MARRIED</v>
      </c>
      <c r="E82" t="str">
        <f>EMPLOYEEDATA!F85</f>
        <v>QUARTERS</v>
      </c>
      <c r="F82">
        <f>SALARY!D83</f>
        <v>48000</v>
      </c>
      <c r="G82">
        <f>SALARY!H83</f>
        <v>54720</v>
      </c>
      <c r="H82">
        <f>SALARY!L83</f>
        <v>8640</v>
      </c>
      <c r="I82">
        <f>SALARYSUMMARY!H82</f>
        <v>46080</v>
      </c>
    </row>
    <row r="83" spans="1:9" x14ac:dyDescent="0.25">
      <c r="A83">
        <v>76</v>
      </c>
      <c r="B83" t="str">
        <f>SALARY!B84</f>
        <v>FEYI</v>
      </c>
      <c r="C83" t="str">
        <f>EMPLOYEEDATA!C86</f>
        <v>FEMALE</v>
      </c>
      <c r="D83" t="str">
        <f>EMPLOYEEDATA!E86</f>
        <v>MARRIED</v>
      </c>
      <c r="E83" t="str">
        <f>EMPLOYEEDATA!F86</f>
        <v>QUARTERS</v>
      </c>
      <c r="F83">
        <f>SALARY!D84</f>
        <v>48000</v>
      </c>
      <c r="G83">
        <f>SALARY!H84</f>
        <v>54720</v>
      </c>
      <c r="H83">
        <f>SALARY!L84</f>
        <v>8640</v>
      </c>
      <c r="I83">
        <f>SALARYSUMMARY!H83</f>
        <v>46080</v>
      </c>
    </row>
    <row r="84" spans="1:9" x14ac:dyDescent="0.25">
      <c r="A84">
        <v>77</v>
      </c>
      <c r="B84" t="str">
        <f>SALARY!B85</f>
        <v>STEFFY</v>
      </c>
      <c r="C84" t="str">
        <f>EMPLOYEEDATA!C87</f>
        <v>FEMALE</v>
      </c>
      <c r="D84" t="str">
        <f>EMPLOYEEDATA!E87</f>
        <v>MARRIED</v>
      </c>
      <c r="E84" t="str">
        <f>EMPLOYEEDATA!F87</f>
        <v>QUARTERS</v>
      </c>
      <c r="F84">
        <f>SALARY!D85</f>
        <v>48000</v>
      </c>
      <c r="G84">
        <f>SALARY!H85</f>
        <v>54720</v>
      </c>
      <c r="H84">
        <f>SALARY!L85</f>
        <v>8640</v>
      </c>
      <c r="I84">
        <f>SALARYSUMMARY!H84</f>
        <v>46080</v>
      </c>
    </row>
    <row r="85" spans="1:9" x14ac:dyDescent="0.25">
      <c r="A85">
        <v>78</v>
      </c>
      <c r="B85" t="str">
        <f>SALARY!B86</f>
        <v>LAMIDE</v>
      </c>
      <c r="C85" t="str">
        <f>EMPLOYEEDATA!C88</f>
        <v>FEMALE</v>
      </c>
      <c r="D85" t="str">
        <f>EMPLOYEEDATA!E88</f>
        <v>SINGLE</v>
      </c>
      <c r="E85" t="str">
        <f>EMPLOYEEDATA!F88</f>
        <v>QUARTERS</v>
      </c>
      <c r="F85">
        <f>SALARY!D86</f>
        <v>45000</v>
      </c>
      <c r="G85">
        <f>SALARY!H86</f>
        <v>51300</v>
      </c>
      <c r="H85">
        <f>SALARY!L86</f>
        <v>8100</v>
      </c>
      <c r="I85">
        <f>SALARYSUMMARY!H85</f>
        <v>43200</v>
      </c>
    </row>
    <row r="86" spans="1:9" x14ac:dyDescent="0.25">
      <c r="A86">
        <v>79</v>
      </c>
      <c r="B86" t="str">
        <f>SALARY!B87</f>
        <v>NIMI</v>
      </c>
      <c r="C86" t="str">
        <f>EMPLOYEEDATA!C89</f>
        <v>FEMALE</v>
      </c>
      <c r="D86" t="str">
        <f>EMPLOYEEDATA!E89</f>
        <v>SINGLE</v>
      </c>
      <c r="E86" t="str">
        <f>EMPLOYEEDATA!F89</f>
        <v>OFF QUARTERS</v>
      </c>
      <c r="F86">
        <f>SALARY!D87</f>
        <v>48000</v>
      </c>
      <c r="G86">
        <f>SALARY!H87</f>
        <v>57600</v>
      </c>
      <c r="H86">
        <f>SALARY!L87</f>
        <v>8640</v>
      </c>
      <c r="I86">
        <f>SALARYSUMMARY!H86</f>
        <v>48960</v>
      </c>
    </row>
    <row r="87" spans="1:9" x14ac:dyDescent="0.25">
      <c r="A87">
        <v>80</v>
      </c>
      <c r="B87" t="str">
        <f>SALARY!B88</f>
        <v>ALO</v>
      </c>
      <c r="C87" t="str">
        <f>EMPLOYEEDATA!C90</f>
        <v>MALE</v>
      </c>
      <c r="D87" t="str">
        <f>EMPLOYEEDATA!E90</f>
        <v>SINGLE</v>
      </c>
      <c r="E87" t="str">
        <f>EMPLOYEEDATA!F90</f>
        <v>OFF QUARTERS</v>
      </c>
      <c r="F87">
        <f>SALARY!D88</f>
        <v>26400</v>
      </c>
      <c r="G87">
        <f>SALARY!H88</f>
        <v>31680</v>
      </c>
      <c r="H87">
        <f>SALARY!L88</f>
        <v>4752</v>
      </c>
      <c r="I87">
        <f>SALARYSUMMARY!H87</f>
        <v>26928</v>
      </c>
    </row>
  </sheetData>
  <mergeCells count="1">
    <mergeCell ref="F1:O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240A6-4652-4817-8F97-1A64C60DC905}">
  <dimension ref="A1:P88"/>
  <sheetViews>
    <sheetView tabSelected="1" workbookViewId="0">
      <selection activeCell="F1" sqref="F1:O5"/>
    </sheetView>
  </sheetViews>
  <sheetFormatPr defaultRowHeight="15" x14ac:dyDescent="0.25"/>
  <cols>
    <col min="2" max="2" width="11.140625" bestFit="1" customWidth="1"/>
    <col min="3" max="3" width="11.5703125" bestFit="1" customWidth="1"/>
    <col min="6" max="6" width="17.85546875" bestFit="1" customWidth="1"/>
    <col min="11" max="11" width="19" style="2" bestFit="1" customWidth="1"/>
    <col min="12" max="12" width="8" style="2" bestFit="1" customWidth="1"/>
  </cols>
  <sheetData>
    <row r="1" spans="1:16" x14ac:dyDescent="0.25">
      <c r="F1" s="4" t="s">
        <v>0</v>
      </c>
      <c r="G1" s="5"/>
      <c r="H1" s="5"/>
      <c r="I1" s="5"/>
      <c r="J1" s="5"/>
      <c r="K1" s="5"/>
      <c r="L1" s="5"/>
      <c r="M1" s="5"/>
      <c r="N1" s="5"/>
      <c r="O1" s="5"/>
    </row>
    <row r="2" spans="1:16" x14ac:dyDescent="0.25">
      <c r="F2" s="5"/>
      <c r="G2" s="5"/>
      <c r="H2" s="5"/>
      <c r="I2" s="5"/>
      <c r="J2" s="5"/>
      <c r="K2" s="5"/>
      <c r="L2" s="5"/>
      <c r="M2" s="5"/>
      <c r="N2" s="5"/>
      <c r="O2" s="5"/>
    </row>
    <row r="3" spans="1:16" x14ac:dyDescent="0.25">
      <c r="F3" s="5"/>
      <c r="G3" s="5"/>
      <c r="H3" s="5"/>
      <c r="I3" s="5"/>
      <c r="J3" s="5"/>
      <c r="K3" s="5"/>
      <c r="L3" s="5"/>
      <c r="M3" s="5"/>
      <c r="N3" s="5"/>
      <c r="O3" s="5"/>
    </row>
    <row r="4" spans="1:16" x14ac:dyDescent="0.25">
      <c r="F4" s="5"/>
      <c r="G4" s="5"/>
      <c r="H4" s="5"/>
      <c r="I4" s="5"/>
      <c r="J4" s="5"/>
      <c r="K4" s="5"/>
      <c r="L4" s="5"/>
      <c r="M4" s="5"/>
      <c r="N4" s="5"/>
      <c r="O4" s="5"/>
    </row>
    <row r="5" spans="1:16" x14ac:dyDescent="0.25">
      <c r="F5" s="5"/>
      <c r="G5" s="5"/>
      <c r="H5" s="5"/>
      <c r="I5" s="5"/>
      <c r="J5" s="5"/>
      <c r="K5" s="5"/>
      <c r="L5" s="5"/>
      <c r="M5" s="5"/>
      <c r="N5" s="5"/>
      <c r="O5" s="5"/>
    </row>
    <row r="7" spans="1:16" s="2" customFormat="1" x14ac:dyDescent="0.25">
      <c r="A7" s="2" t="s">
        <v>1</v>
      </c>
      <c r="B7" s="2" t="s">
        <v>2</v>
      </c>
      <c r="C7" s="2" t="s">
        <v>104</v>
      </c>
      <c r="D7" s="2" t="s">
        <v>100</v>
      </c>
      <c r="E7" s="2" t="s">
        <v>102</v>
      </c>
      <c r="F7" s="2" t="s">
        <v>107</v>
      </c>
      <c r="K7" s="7" t="s">
        <v>109</v>
      </c>
      <c r="L7" s="7"/>
      <c r="M7" s="7"/>
      <c r="N7" s="7"/>
      <c r="O7" s="7"/>
      <c r="P7" s="7"/>
    </row>
    <row r="8" spans="1:16" x14ac:dyDescent="0.25">
      <c r="A8">
        <v>1</v>
      </c>
      <c r="B8" t="str">
        <f>STAFFWELFARE!B8</f>
        <v>RUNSEWE</v>
      </c>
      <c r="C8">
        <f>STAFFWELFARE!I8</f>
        <v>26979</v>
      </c>
      <c r="D8">
        <f>SALARY!I9</f>
        <v>1983.75</v>
      </c>
      <c r="E8">
        <f>SALARY!K9</f>
        <v>1983.75</v>
      </c>
      <c r="F8">
        <f>SALARY!J9</f>
        <v>793.5</v>
      </c>
      <c r="K8" s="7"/>
      <c r="L8" s="7"/>
      <c r="M8" s="7"/>
      <c r="N8" s="7"/>
      <c r="O8" s="7"/>
      <c r="P8" s="7"/>
    </row>
    <row r="9" spans="1:16" x14ac:dyDescent="0.25">
      <c r="A9">
        <v>2</v>
      </c>
      <c r="B9" t="str">
        <f>STAFFWELFARE!B9</f>
        <v>IFEOLUWA</v>
      </c>
      <c r="C9">
        <f>STAFFWELFARE!I9</f>
        <v>26979</v>
      </c>
      <c r="D9">
        <f>SALARY!I10</f>
        <v>1983.75</v>
      </c>
      <c r="E9">
        <f>SALARY!K10</f>
        <v>1983.75</v>
      </c>
      <c r="F9">
        <f>SALARY!J10</f>
        <v>793.5</v>
      </c>
      <c r="K9" s="2" t="s">
        <v>110</v>
      </c>
      <c r="L9" s="2">
        <f>C88</f>
        <v>3331602</v>
      </c>
    </row>
    <row r="10" spans="1:16" x14ac:dyDescent="0.25">
      <c r="A10">
        <v>3</v>
      </c>
      <c r="B10" t="str">
        <f>STAFFWELFARE!B10</f>
        <v>RUTH</v>
      </c>
      <c r="C10">
        <f>STAFFWELFARE!I10</f>
        <v>26928</v>
      </c>
      <c r="D10">
        <f>SALARY!I11</f>
        <v>1980</v>
      </c>
      <c r="E10">
        <f>SALARY!K11</f>
        <v>1980</v>
      </c>
      <c r="F10">
        <f>SALARY!J11</f>
        <v>792</v>
      </c>
      <c r="K10" s="2" t="s">
        <v>111</v>
      </c>
      <c r="L10" s="2">
        <f>D88</f>
        <v>254407.5</v>
      </c>
    </row>
    <row r="11" spans="1:16" x14ac:dyDescent="0.25">
      <c r="A11">
        <v>4</v>
      </c>
      <c r="B11" t="str">
        <f>STAFFWELFARE!B11</f>
        <v>AYO</v>
      </c>
      <c r="C11">
        <f>STAFFWELFARE!I11</f>
        <v>31416</v>
      </c>
      <c r="D11">
        <f>SALARY!I12</f>
        <v>2310</v>
      </c>
      <c r="E11">
        <f>SALARY!K12</f>
        <v>2310</v>
      </c>
      <c r="F11">
        <f>SALARY!J12</f>
        <v>924</v>
      </c>
      <c r="K11" s="2" t="s">
        <v>102</v>
      </c>
      <c r="L11" s="2">
        <f>E88</f>
        <v>254407.5</v>
      </c>
    </row>
    <row r="12" spans="1:16" x14ac:dyDescent="0.25">
      <c r="A12">
        <v>5</v>
      </c>
      <c r="B12" t="str">
        <f>STAFFWELFARE!B12</f>
        <v>OLA</v>
      </c>
      <c r="C12">
        <f>STAFFWELFARE!I12</f>
        <v>46080</v>
      </c>
      <c r="D12">
        <f>SALARY!I13</f>
        <v>3600</v>
      </c>
      <c r="E12">
        <f>SALARY!K13</f>
        <v>3600</v>
      </c>
      <c r="F12">
        <f>SALARY!J13</f>
        <v>1440</v>
      </c>
      <c r="K12" s="2" t="s">
        <v>112</v>
      </c>
      <c r="L12" s="2">
        <v>254408</v>
      </c>
    </row>
    <row r="13" spans="1:16" x14ac:dyDescent="0.25">
      <c r="A13">
        <v>6</v>
      </c>
      <c r="B13" t="str">
        <f>STAFFWELFARE!B13</f>
        <v>PONMILE</v>
      </c>
      <c r="C13">
        <f>STAFFWELFARE!I13</f>
        <v>46080</v>
      </c>
      <c r="D13">
        <f>SALARY!I14</f>
        <v>3600</v>
      </c>
      <c r="E13">
        <f>SALARY!K14</f>
        <v>3600</v>
      </c>
      <c r="F13">
        <f>SALARY!J14</f>
        <v>1440</v>
      </c>
      <c r="K13" s="2" t="s">
        <v>113</v>
      </c>
      <c r="L13" s="2">
        <f>F88</f>
        <v>101763</v>
      </c>
    </row>
    <row r="14" spans="1:16" x14ac:dyDescent="0.25">
      <c r="A14">
        <v>7</v>
      </c>
      <c r="B14" t="str">
        <f>STAFFWELFARE!B14</f>
        <v>DEVINE</v>
      </c>
      <c r="C14">
        <f>STAFFWELFARE!I14</f>
        <v>46080</v>
      </c>
      <c r="D14">
        <f>SALARY!I15</f>
        <v>3600</v>
      </c>
      <c r="E14">
        <f>SALARY!K15</f>
        <v>3600</v>
      </c>
      <c r="F14">
        <f>SALARY!J15</f>
        <v>1440</v>
      </c>
      <c r="K14" s="2" t="s">
        <v>114</v>
      </c>
      <c r="L14" s="2">
        <f>SUM(L9:L13)</f>
        <v>4196588</v>
      </c>
    </row>
    <row r="15" spans="1:16" x14ac:dyDescent="0.25">
      <c r="A15">
        <v>8</v>
      </c>
      <c r="B15" t="str">
        <f>STAFFWELFARE!B15</f>
        <v>IMISI</v>
      </c>
      <c r="C15">
        <f>STAFFWELFARE!I15</f>
        <v>43200</v>
      </c>
      <c r="D15">
        <f>SALARY!I16</f>
        <v>3375</v>
      </c>
      <c r="E15">
        <f>SALARY!K16</f>
        <v>3375</v>
      </c>
      <c r="F15">
        <f>SALARY!J16</f>
        <v>1350</v>
      </c>
    </row>
    <row r="16" spans="1:16" x14ac:dyDescent="0.25">
      <c r="A16">
        <v>9</v>
      </c>
      <c r="B16" t="str">
        <f>STAFFWELFARE!B16</f>
        <v>JAMES</v>
      </c>
      <c r="C16">
        <f>STAFFWELFARE!I16</f>
        <v>26979</v>
      </c>
      <c r="D16">
        <f>SALARY!I17</f>
        <v>1983.75</v>
      </c>
      <c r="E16">
        <f>SALARY!K17</f>
        <v>1983.75</v>
      </c>
      <c r="F16">
        <f>SALARY!J17</f>
        <v>793.5</v>
      </c>
    </row>
    <row r="17" spans="1:6" x14ac:dyDescent="0.25">
      <c r="A17">
        <v>10</v>
      </c>
      <c r="B17" t="str">
        <f>STAFFWELFARE!B17</f>
        <v>KENNY</v>
      </c>
      <c r="C17">
        <f>STAFFWELFARE!I17</f>
        <v>26928</v>
      </c>
      <c r="D17">
        <f>SALARY!I18</f>
        <v>1980</v>
      </c>
      <c r="E17">
        <f>SALARY!K18</f>
        <v>1980</v>
      </c>
      <c r="F17">
        <f>SALARY!J18</f>
        <v>792</v>
      </c>
    </row>
    <row r="18" spans="1:6" x14ac:dyDescent="0.25">
      <c r="A18">
        <v>11</v>
      </c>
      <c r="B18" t="str">
        <f>STAFFWELFARE!B18</f>
        <v>FAITH</v>
      </c>
      <c r="C18">
        <f>STAFFWELFARE!I18</f>
        <v>46080</v>
      </c>
      <c r="D18">
        <f>SALARY!I19</f>
        <v>3600</v>
      </c>
      <c r="E18">
        <f>SALARY!K19</f>
        <v>3600</v>
      </c>
      <c r="F18">
        <f>SALARY!J19</f>
        <v>1440</v>
      </c>
    </row>
    <row r="19" spans="1:6" x14ac:dyDescent="0.25">
      <c r="A19">
        <v>12</v>
      </c>
      <c r="B19" t="str">
        <f>STAFFWELFARE!B19</f>
        <v>SEGUN</v>
      </c>
      <c r="C19">
        <f>STAFFWELFARE!I19</f>
        <v>31416</v>
      </c>
      <c r="D19">
        <f>SALARY!I20</f>
        <v>2310</v>
      </c>
      <c r="E19">
        <f>SALARY!K20</f>
        <v>2310</v>
      </c>
      <c r="F19">
        <f>SALARY!J20</f>
        <v>924</v>
      </c>
    </row>
    <row r="20" spans="1:6" x14ac:dyDescent="0.25">
      <c r="A20">
        <v>13</v>
      </c>
      <c r="B20" t="str">
        <f>STAFFWELFARE!B20</f>
        <v>TAIWO</v>
      </c>
      <c r="C20">
        <f>STAFFWELFARE!I20</f>
        <v>48960</v>
      </c>
      <c r="D20">
        <f>SALARY!I21</f>
        <v>3600</v>
      </c>
      <c r="E20">
        <f>SALARY!K21</f>
        <v>3600</v>
      </c>
      <c r="F20">
        <f>SALARY!J21</f>
        <v>1440</v>
      </c>
    </row>
    <row r="21" spans="1:6" x14ac:dyDescent="0.25">
      <c r="A21">
        <v>14</v>
      </c>
      <c r="B21" t="str">
        <f>STAFFWELFARE!B21</f>
        <v>JUMOKE</v>
      </c>
      <c r="C21">
        <f>STAFFWELFARE!I21</f>
        <v>26928</v>
      </c>
      <c r="D21">
        <f>SALARY!I22</f>
        <v>1980</v>
      </c>
      <c r="E21">
        <f>SALARY!K22</f>
        <v>1980</v>
      </c>
      <c r="F21">
        <f>SALARY!J22</f>
        <v>792</v>
      </c>
    </row>
    <row r="22" spans="1:6" x14ac:dyDescent="0.25">
      <c r="A22">
        <v>15</v>
      </c>
      <c r="B22" t="str">
        <f>STAFFWELFARE!B22</f>
        <v>ISAAC</v>
      </c>
      <c r="C22">
        <f>STAFFWELFARE!I22</f>
        <v>48960</v>
      </c>
      <c r="D22">
        <f>SALARY!I23</f>
        <v>3600</v>
      </c>
      <c r="E22">
        <f>SALARY!K23</f>
        <v>3600</v>
      </c>
      <c r="F22">
        <f>SALARY!J23</f>
        <v>1440</v>
      </c>
    </row>
    <row r="23" spans="1:6" x14ac:dyDescent="0.25">
      <c r="A23">
        <v>16</v>
      </c>
      <c r="B23" t="str">
        <f>STAFFWELFARE!B23</f>
        <v>ISREAL</v>
      </c>
      <c r="C23">
        <f>STAFFWELFARE!I23</f>
        <v>48960</v>
      </c>
      <c r="D23">
        <f>SALARY!I24</f>
        <v>3600</v>
      </c>
      <c r="E23">
        <f>SALARY!K24</f>
        <v>3600</v>
      </c>
      <c r="F23">
        <f>SALARY!J24</f>
        <v>1440</v>
      </c>
    </row>
    <row r="24" spans="1:6" x14ac:dyDescent="0.25">
      <c r="A24">
        <v>17</v>
      </c>
      <c r="B24" t="str">
        <f>STAFFWELFARE!B24</f>
        <v>PEACE</v>
      </c>
      <c r="C24">
        <f>STAFFWELFARE!I24</f>
        <v>43200</v>
      </c>
      <c r="D24">
        <f>SALARY!I25</f>
        <v>3375</v>
      </c>
      <c r="E24">
        <f>SALARY!K25</f>
        <v>3375</v>
      </c>
      <c r="F24">
        <f>SALARY!J25</f>
        <v>1350</v>
      </c>
    </row>
    <row r="25" spans="1:6" x14ac:dyDescent="0.25">
      <c r="A25">
        <v>18</v>
      </c>
      <c r="B25" t="str">
        <f>STAFFWELFARE!B25</f>
        <v>ROSE</v>
      </c>
      <c r="C25">
        <f>STAFFWELFARE!I25</f>
        <v>26928</v>
      </c>
      <c r="D25">
        <f>SALARY!I26</f>
        <v>1980</v>
      </c>
      <c r="E25">
        <f>SALARY!K26</f>
        <v>1980</v>
      </c>
      <c r="F25">
        <f>SALARY!J26</f>
        <v>792</v>
      </c>
    </row>
    <row r="26" spans="1:6" x14ac:dyDescent="0.25">
      <c r="A26">
        <v>19</v>
      </c>
      <c r="B26" t="str">
        <f>STAFFWELFARE!B26</f>
        <v>DELIGHT</v>
      </c>
      <c r="C26">
        <f>STAFFWELFARE!I26</f>
        <v>46080</v>
      </c>
      <c r="D26">
        <f>SALARY!I27</f>
        <v>3600</v>
      </c>
      <c r="E26">
        <f>SALARY!K27</f>
        <v>3600</v>
      </c>
      <c r="F26">
        <f>SALARY!J27</f>
        <v>1440</v>
      </c>
    </row>
    <row r="27" spans="1:6" x14ac:dyDescent="0.25">
      <c r="A27">
        <v>20</v>
      </c>
      <c r="B27" t="str">
        <f>STAFFWELFARE!B27</f>
        <v>KELVIN</v>
      </c>
      <c r="C27">
        <f>STAFFWELFARE!I27</f>
        <v>46080</v>
      </c>
      <c r="D27">
        <f>SALARY!I28</f>
        <v>3600</v>
      </c>
      <c r="E27">
        <f>SALARY!K28</f>
        <v>3600</v>
      </c>
      <c r="F27">
        <f>SALARY!J28</f>
        <v>1440</v>
      </c>
    </row>
    <row r="28" spans="1:6" x14ac:dyDescent="0.25">
      <c r="A28">
        <v>21</v>
      </c>
      <c r="B28" t="str">
        <f>STAFFWELFARE!B28</f>
        <v>JEDIDAH</v>
      </c>
      <c r="C28">
        <f>STAFFWELFARE!I28</f>
        <v>46080</v>
      </c>
      <c r="D28">
        <f>SALARY!I29</f>
        <v>3600</v>
      </c>
      <c r="E28">
        <f>SALARY!K29</f>
        <v>3600</v>
      </c>
      <c r="F28">
        <f>SALARY!J29</f>
        <v>1440</v>
      </c>
    </row>
    <row r="29" spans="1:6" x14ac:dyDescent="0.25">
      <c r="A29">
        <v>22</v>
      </c>
      <c r="B29" t="str">
        <f>STAFFWELFARE!B29</f>
        <v>DANIEL</v>
      </c>
      <c r="C29">
        <f>STAFFWELFARE!I29</f>
        <v>46080</v>
      </c>
      <c r="D29">
        <f>SALARY!I30</f>
        <v>3600</v>
      </c>
      <c r="E29">
        <f>SALARY!K30</f>
        <v>3600</v>
      </c>
      <c r="F29">
        <f>SALARY!J30</f>
        <v>1440</v>
      </c>
    </row>
    <row r="30" spans="1:6" x14ac:dyDescent="0.25">
      <c r="A30">
        <v>23</v>
      </c>
      <c r="B30" t="str">
        <f>STAFFWELFARE!B30</f>
        <v>MASON</v>
      </c>
      <c r="C30">
        <f>STAFFWELFARE!I30</f>
        <v>46080</v>
      </c>
      <c r="D30">
        <f>SALARY!I31</f>
        <v>3600</v>
      </c>
      <c r="E30">
        <f>SALARY!K31</f>
        <v>3600</v>
      </c>
      <c r="F30">
        <f>SALARY!J31</f>
        <v>1440</v>
      </c>
    </row>
    <row r="31" spans="1:6" x14ac:dyDescent="0.25">
      <c r="A31">
        <v>24</v>
      </c>
      <c r="B31" t="str">
        <f>STAFFWELFARE!B31</f>
        <v>TOMINWA</v>
      </c>
      <c r="C31">
        <f>STAFFWELFARE!I31</f>
        <v>46080</v>
      </c>
      <c r="D31">
        <f>SALARY!I32</f>
        <v>3600</v>
      </c>
      <c r="E31">
        <f>SALARY!K32</f>
        <v>3600</v>
      </c>
      <c r="F31">
        <f>SALARY!J32</f>
        <v>1440</v>
      </c>
    </row>
    <row r="32" spans="1:6" x14ac:dyDescent="0.25">
      <c r="A32">
        <v>25</v>
      </c>
      <c r="B32" t="str">
        <f>STAFFWELFARE!B32</f>
        <v>GIFT</v>
      </c>
      <c r="C32">
        <f>STAFFWELFARE!I32</f>
        <v>46080</v>
      </c>
      <c r="D32">
        <f>SALARY!I33</f>
        <v>3600</v>
      </c>
      <c r="E32">
        <f>SALARY!K33</f>
        <v>3600</v>
      </c>
      <c r="F32">
        <f>SALARY!J33</f>
        <v>1440</v>
      </c>
    </row>
    <row r="33" spans="1:6" x14ac:dyDescent="0.25">
      <c r="A33">
        <v>26</v>
      </c>
      <c r="B33" t="str">
        <f>STAFFWELFARE!B33</f>
        <v>FAUSAT</v>
      </c>
      <c r="C33">
        <f>STAFFWELFARE!I33</f>
        <v>46080</v>
      </c>
      <c r="D33">
        <f>SALARY!I34</f>
        <v>3600</v>
      </c>
      <c r="E33">
        <f>SALARY!K34</f>
        <v>3600</v>
      </c>
      <c r="F33">
        <f>SALARY!J34</f>
        <v>1440</v>
      </c>
    </row>
    <row r="34" spans="1:6" x14ac:dyDescent="0.25">
      <c r="A34">
        <v>27</v>
      </c>
      <c r="B34" t="str">
        <f>STAFFWELFARE!B34</f>
        <v>TOYOSI</v>
      </c>
      <c r="C34">
        <f>STAFFWELFARE!I34</f>
        <v>46080</v>
      </c>
      <c r="D34">
        <f>SALARY!I35</f>
        <v>3600</v>
      </c>
      <c r="E34">
        <f>SALARY!K35</f>
        <v>3600</v>
      </c>
      <c r="F34">
        <f>SALARY!J35</f>
        <v>1440</v>
      </c>
    </row>
    <row r="35" spans="1:6" x14ac:dyDescent="0.25">
      <c r="A35">
        <v>28</v>
      </c>
      <c r="B35" t="str">
        <f>STAFFWELFARE!B35</f>
        <v>MOTUN</v>
      </c>
      <c r="C35">
        <f>STAFFWELFARE!I35</f>
        <v>46080</v>
      </c>
      <c r="D35">
        <f>SALARY!I36</f>
        <v>3600</v>
      </c>
      <c r="E35">
        <f>SALARY!K36</f>
        <v>3600</v>
      </c>
      <c r="F35">
        <f>SALARY!J36</f>
        <v>1440</v>
      </c>
    </row>
    <row r="36" spans="1:6" x14ac:dyDescent="0.25">
      <c r="A36">
        <v>29</v>
      </c>
      <c r="B36" t="str">
        <f>STAFFWELFARE!B36</f>
        <v>MOYIN</v>
      </c>
      <c r="C36">
        <f>STAFFWELFARE!I36</f>
        <v>46080</v>
      </c>
      <c r="D36">
        <f>SALARY!I37</f>
        <v>3600</v>
      </c>
      <c r="E36">
        <f>SALARY!K37</f>
        <v>3600</v>
      </c>
      <c r="F36">
        <f>SALARY!J37</f>
        <v>1440</v>
      </c>
    </row>
    <row r="37" spans="1:6" x14ac:dyDescent="0.25">
      <c r="A37">
        <v>30</v>
      </c>
      <c r="B37" t="str">
        <f>STAFFWELFARE!B37</f>
        <v>ODUN</v>
      </c>
      <c r="C37">
        <f>STAFFWELFARE!I37</f>
        <v>43200</v>
      </c>
      <c r="D37">
        <f>SALARY!I38</f>
        <v>3375</v>
      </c>
      <c r="E37">
        <f>SALARY!K38</f>
        <v>3375</v>
      </c>
      <c r="F37">
        <f>SALARY!J38</f>
        <v>1350</v>
      </c>
    </row>
    <row r="38" spans="1:6" x14ac:dyDescent="0.25">
      <c r="A38">
        <v>31</v>
      </c>
      <c r="B38" t="str">
        <f>STAFFWELFARE!B38</f>
        <v>YOYIN</v>
      </c>
      <c r="C38">
        <f>STAFFWELFARE!I38</f>
        <v>26928</v>
      </c>
      <c r="D38">
        <f>SALARY!I39</f>
        <v>1980</v>
      </c>
      <c r="E38">
        <f>SALARY!K39</f>
        <v>1980</v>
      </c>
      <c r="F38">
        <f>SALARY!J39</f>
        <v>792</v>
      </c>
    </row>
    <row r="39" spans="1:6" x14ac:dyDescent="0.25">
      <c r="A39">
        <v>32</v>
      </c>
      <c r="B39" t="str">
        <f>STAFFWELFARE!B39</f>
        <v>OYIN</v>
      </c>
      <c r="C39">
        <f>STAFFWELFARE!I39</f>
        <v>46080</v>
      </c>
      <c r="D39">
        <f>SALARY!I40</f>
        <v>3600</v>
      </c>
      <c r="E39">
        <f>SALARY!K40</f>
        <v>3600</v>
      </c>
      <c r="F39">
        <f>SALARY!J40</f>
        <v>1440</v>
      </c>
    </row>
    <row r="40" spans="1:6" x14ac:dyDescent="0.25">
      <c r="A40">
        <v>33</v>
      </c>
      <c r="B40" t="str">
        <f>STAFFWELFARE!B40</f>
        <v>SOLA</v>
      </c>
      <c r="C40">
        <f>STAFFWELFARE!I40</f>
        <v>46080</v>
      </c>
      <c r="D40">
        <f>SALARY!I41</f>
        <v>3600</v>
      </c>
      <c r="E40">
        <f>SALARY!K41</f>
        <v>3600</v>
      </c>
      <c r="F40">
        <f>SALARY!J41</f>
        <v>1440</v>
      </c>
    </row>
    <row r="41" spans="1:6" x14ac:dyDescent="0.25">
      <c r="A41">
        <v>34</v>
      </c>
      <c r="B41" t="str">
        <f>STAFFWELFARE!B41</f>
        <v>EMMA</v>
      </c>
      <c r="C41">
        <f>STAFFWELFARE!I41</f>
        <v>31416</v>
      </c>
      <c r="D41">
        <f>SALARY!I42</f>
        <v>2310</v>
      </c>
      <c r="E41">
        <f>SALARY!K42</f>
        <v>2310</v>
      </c>
      <c r="F41">
        <f>SALARY!J42</f>
        <v>924</v>
      </c>
    </row>
    <row r="42" spans="1:6" x14ac:dyDescent="0.25">
      <c r="A42">
        <v>35</v>
      </c>
      <c r="B42" t="str">
        <f>STAFFWELFARE!B42</f>
        <v>SAM</v>
      </c>
      <c r="C42">
        <f>STAFFWELFARE!I42</f>
        <v>26979</v>
      </c>
      <c r="D42">
        <f>SALARY!I43</f>
        <v>1983.75</v>
      </c>
      <c r="E42">
        <f>SALARY!K43</f>
        <v>1983.75</v>
      </c>
      <c r="F42">
        <f>SALARY!J43</f>
        <v>793.5</v>
      </c>
    </row>
    <row r="43" spans="1:6" x14ac:dyDescent="0.25">
      <c r="A43">
        <v>36</v>
      </c>
      <c r="B43" t="str">
        <f>STAFFWELFARE!B43</f>
        <v>SEUN</v>
      </c>
      <c r="C43">
        <f>STAFFWELFARE!I43</f>
        <v>26979</v>
      </c>
      <c r="D43">
        <f>SALARY!I44</f>
        <v>1983.75</v>
      </c>
      <c r="E43">
        <f>SALARY!K44</f>
        <v>1983.75</v>
      </c>
      <c r="F43">
        <f>SALARY!J44</f>
        <v>793.5</v>
      </c>
    </row>
    <row r="44" spans="1:6" x14ac:dyDescent="0.25">
      <c r="A44">
        <v>37</v>
      </c>
      <c r="B44" t="str">
        <f>STAFFWELFARE!B44</f>
        <v>JOSEPH</v>
      </c>
      <c r="C44">
        <f>STAFFWELFARE!I44</f>
        <v>48960</v>
      </c>
      <c r="D44">
        <f>SALARY!I45</f>
        <v>3600</v>
      </c>
      <c r="E44">
        <f>SALARY!K45</f>
        <v>3600</v>
      </c>
      <c r="F44">
        <f>SALARY!J45</f>
        <v>1440</v>
      </c>
    </row>
    <row r="45" spans="1:6" x14ac:dyDescent="0.25">
      <c r="A45">
        <v>38</v>
      </c>
      <c r="B45" t="str">
        <f>STAFFWELFARE!B45</f>
        <v>USMAN</v>
      </c>
      <c r="C45">
        <f>STAFFWELFARE!I45</f>
        <v>48960</v>
      </c>
      <c r="D45">
        <f>SALARY!I46</f>
        <v>3600</v>
      </c>
      <c r="E45">
        <f>SALARY!K46</f>
        <v>3600</v>
      </c>
      <c r="F45">
        <f>SALARY!J46</f>
        <v>1440</v>
      </c>
    </row>
    <row r="46" spans="1:6" x14ac:dyDescent="0.25">
      <c r="A46">
        <v>39</v>
      </c>
      <c r="B46" t="str">
        <f>STAFFWELFARE!B46</f>
        <v>JAMAL</v>
      </c>
      <c r="C46">
        <f>STAFFWELFARE!I46</f>
        <v>46080</v>
      </c>
      <c r="D46">
        <f>SALARY!I47</f>
        <v>3600</v>
      </c>
      <c r="E46">
        <f>SALARY!K47</f>
        <v>3600</v>
      </c>
      <c r="F46">
        <f>SALARY!J47</f>
        <v>1440</v>
      </c>
    </row>
    <row r="47" spans="1:6" x14ac:dyDescent="0.25">
      <c r="A47">
        <v>40</v>
      </c>
      <c r="B47" t="str">
        <f>STAFFWELFARE!B47</f>
        <v>TOSIN</v>
      </c>
      <c r="C47">
        <f>STAFFWELFARE!I47</f>
        <v>46080</v>
      </c>
      <c r="D47">
        <f>SALARY!I48</f>
        <v>3600</v>
      </c>
      <c r="E47">
        <f>SALARY!K48</f>
        <v>3600</v>
      </c>
      <c r="F47">
        <f>SALARY!J48</f>
        <v>1440</v>
      </c>
    </row>
    <row r="48" spans="1:6" x14ac:dyDescent="0.25">
      <c r="A48">
        <v>41</v>
      </c>
      <c r="B48" t="str">
        <f>STAFFWELFARE!B48</f>
        <v>PELUMI</v>
      </c>
      <c r="C48">
        <f>STAFFWELFARE!I48</f>
        <v>43200</v>
      </c>
      <c r="D48">
        <f>SALARY!I49</f>
        <v>3375</v>
      </c>
      <c r="E48">
        <f>SALARY!K49</f>
        <v>3375</v>
      </c>
      <c r="F48">
        <f>SALARY!J49</f>
        <v>1350</v>
      </c>
    </row>
    <row r="49" spans="1:6" x14ac:dyDescent="0.25">
      <c r="A49">
        <v>42</v>
      </c>
      <c r="B49" t="str">
        <f>STAFFWELFARE!B49</f>
        <v>FERANMI</v>
      </c>
      <c r="C49">
        <f>STAFFWELFARE!I49</f>
        <v>48960</v>
      </c>
      <c r="D49">
        <f>SALARY!I50</f>
        <v>3600</v>
      </c>
      <c r="E49">
        <f>SALARY!K50</f>
        <v>3600</v>
      </c>
      <c r="F49">
        <f>SALARY!J50</f>
        <v>1440</v>
      </c>
    </row>
    <row r="50" spans="1:6" x14ac:dyDescent="0.25">
      <c r="A50">
        <v>43</v>
      </c>
      <c r="B50" t="str">
        <f>STAFFWELFARE!B50</f>
        <v>MARVY</v>
      </c>
      <c r="C50">
        <f>STAFFWELFARE!I50</f>
        <v>26928</v>
      </c>
      <c r="D50">
        <f>SALARY!I51</f>
        <v>1980</v>
      </c>
      <c r="E50">
        <f>SALARY!K51</f>
        <v>1980</v>
      </c>
      <c r="F50">
        <f>SALARY!J51</f>
        <v>792</v>
      </c>
    </row>
    <row r="51" spans="1:6" x14ac:dyDescent="0.25">
      <c r="A51">
        <v>44</v>
      </c>
      <c r="B51" t="str">
        <f>STAFFWELFARE!B51</f>
        <v>FAVOUR</v>
      </c>
      <c r="C51">
        <f>STAFFWELFARE!I51</f>
        <v>46080</v>
      </c>
      <c r="D51">
        <f>SALARY!I52</f>
        <v>3600</v>
      </c>
      <c r="E51">
        <f>SALARY!K52</f>
        <v>3600</v>
      </c>
      <c r="F51">
        <f>SALARY!J52</f>
        <v>1440</v>
      </c>
    </row>
    <row r="52" spans="1:6" x14ac:dyDescent="0.25">
      <c r="A52">
        <v>45</v>
      </c>
      <c r="B52" t="str">
        <f>STAFFWELFARE!B52</f>
        <v>LOLA</v>
      </c>
      <c r="C52">
        <f>STAFFWELFARE!I52</f>
        <v>46080</v>
      </c>
      <c r="D52">
        <f>SALARY!I53</f>
        <v>3600</v>
      </c>
      <c r="E52">
        <f>SALARY!K53</f>
        <v>3600</v>
      </c>
      <c r="F52">
        <f>SALARY!J53</f>
        <v>1440</v>
      </c>
    </row>
    <row r="53" spans="1:6" x14ac:dyDescent="0.25">
      <c r="A53">
        <v>46</v>
      </c>
      <c r="B53" t="str">
        <f>STAFFWELFARE!B53</f>
        <v>DAMI</v>
      </c>
      <c r="C53">
        <f>STAFFWELFARE!I53</f>
        <v>31416</v>
      </c>
      <c r="D53">
        <f>SALARY!I54</f>
        <v>2310</v>
      </c>
      <c r="E53">
        <f>SALARY!K54</f>
        <v>2310</v>
      </c>
      <c r="F53">
        <f>SALARY!J54</f>
        <v>924</v>
      </c>
    </row>
    <row r="54" spans="1:6" x14ac:dyDescent="0.25">
      <c r="A54">
        <v>47</v>
      </c>
      <c r="B54" t="str">
        <f>STAFFWELFARE!B54</f>
        <v>TOMI</v>
      </c>
      <c r="C54">
        <f>STAFFWELFARE!I54</f>
        <v>46080</v>
      </c>
      <c r="D54">
        <f>SALARY!I55</f>
        <v>3600</v>
      </c>
      <c r="E54">
        <f>SALARY!K55</f>
        <v>3600</v>
      </c>
      <c r="F54">
        <f>SALARY!J55</f>
        <v>1440</v>
      </c>
    </row>
    <row r="55" spans="1:6" x14ac:dyDescent="0.25">
      <c r="A55">
        <v>48</v>
      </c>
      <c r="B55" t="str">
        <f>STAFFWELFARE!B55</f>
        <v>HAPINESS</v>
      </c>
      <c r="C55">
        <f>STAFFWELFARE!I55</f>
        <v>46080</v>
      </c>
      <c r="D55">
        <f>SALARY!I56</f>
        <v>3600</v>
      </c>
      <c r="E55">
        <f>SALARY!K56</f>
        <v>3600</v>
      </c>
      <c r="F55">
        <f>SALARY!J56</f>
        <v>1440</v>
      </c>
    </row>
    <row r="56" spans="1:6" x14ac:dyDescent="0.25">
      <c r="A56">
        <v>49</v>
      </c>
      <c r="B56" t="str">
        <f>STAFFWELFARE!B56</f>
        <v>PRINCESS</v>
      </c>
      <c r="C56">
        <f>STAFFWELFARE!I56</f>
        <v>46080</v>
      </c>
      <c r="D56">
        <f>SALARY!I57</f>
        <v>3600</v>
      </c>
      <c r="E56">
        <f>SALARY!K57</f>
        <v>3600</v>
      </c>
      <c r="F56">
        <f>SALARY!J57</f>
        <v>1440</v>
      </c>
    </row>
    <row r="57" spans="1:6" x14ac:dyDescent="0.25">
      <c r="A57">
        <v>50</v>
      </c>
      <c r="B57" t="str">
        <f>STAFFWELFARE!B57</f>
        <v>QUEEN</v>
      </c>
      <c r="C57">
        <f>STAFFWELFARE!I57</f>
        <v>46080</v>
      </c>
      <c r="D57">
        <f>SALARY!I58</f>
        <v>3600</v>
      </c>
      <c r="E57">
        <f>SALARY!K58</f>
        <v>3600</v>
      </c>
      <c r="F57">
        <f>SALARY!J58</f>
        <v>1440</v>
      </c>
    </row>
    <row r="58" spans="1:6" x14ac:dyDescent="0.25">
      <c r="A58">
        <v>51</v>
      </c>
      <c r="B58" t="str">
        <f>STAFFWELFARE!B58</f>
        <v>GREATNESS</v>
      </c>
      <c r="C58">
        <f>STAFFWELFARE!I58</f>
        <v>46080</v>
      </c>
      <c r="D58">
        <f>SALARY!I59</f>
        <v>3600</v>
      </c>
      <c r="E58">
        <f>SALARY!K59</f>
        <v>3600</v>
      </c>
      <c r="F58">
        <f>SALARY!J59</f>
        <v>1440</v>
      </c>
    </row>
    <row r="59" spans="1:6" x14ac:dyDescent="0.25">
      <c r="A59">
        <v>52</v>
      </c>
      <c r="B59" t="str">
        <f>STAFFWELFARE!B59</f>
        <v>KUKU</v>
      </c>
      <c r="C59">
        <f>STAFFWELFARE!I59</f>
        <v>46080</v>
      </c>
      <c r="D59">
        <f>SALARY!I60</f>
        <v>3600</v>
      </c>
      <c r="E59">
        <f>SALARY!K60</f>
        <v>3600</v>
      </c>
      <c r="F59">
        <f>SALARY!J60</f>
        <v>1440</v>
      </c>
    </row>
    <row r="60" spans="1:6" x14ac:dyDescent="0.25">
      <c r="A60">
        <v>53</v>
      </c>
      <c r="B60" t="str">
        <f>STAFFWELFARE!B60</f>
        <v>SUNKANMI</v>
      </c>
      <c r="C60">
        <f>STAFFWELFARE!I60</f>
        <v>46080</v>
      </c>
      <c r="D60">
        <f>SALARY!I61</f>
        <v>3600</v>
      </c>
      <c r="E60">
        <f>SALARY!K61</f>
        <v>3600</v>
      </c>
      <c r="F60">
        <f>SALARY!J61</f>
        <v>1440</v>
      </c>
    </row>
    <row r="61" spans="1:6" x14ac:dyDescent="0.25">
      <c r="A61">
        <v>54</v>
      </c>
      <c r="B61" t="str">
        <f>STAFFWELFARE!B61</f>
        <v>OYEDEJI</v>
      </c>
      <c r="C61">
        <f>STAFFWELFARE!I61</f>
        <v>26928</v>
      </c>
      <c r="D61">
        <f>SALARY!I62</f>
        <v>1980</v>
      </c>
      <c r="E61">
        <f>SALARY!K62</f>
        <v>1980</v>
      </c>
      <c r="F61">
        <f>SALARY!J62</f>
        <v>792</v>
      </c>
    </row>
    <row r="62" spans="1:6" x14ac:dyDescent="0.25">
      <c r="A62">
        <v>55</v>
      </c>
      <c r="B62" t="str">
        <f>STAFFWELFARE!B62</f>
        <v>ODUWOLE</v>
      </c>
      <c r="C62">
        <f>STAFFWELFARE!I62</f>
        <v>26979</v>
      </c>
      <c r="D62">
        <f>SALARY!I63</f>
        <v>1983.75</v>
      </c>
      <c r="E62">
        <f>SALARY!K63</f>
        <v>1983.75</v>
      </c>
      <c r="F62">
        <f>SALARY!J63</f>
        <v>793.5</v>
      </c>
    </row>
    <row r="63" spans="1:6" x14ac:dyDescent="0.25">
      <c r="A63">
        <v>56</v>
      </c>
      <c r="B63" t="str">
        <f>STAFFWELFARE!B63</f>
        <v>FEMI</v>
      </c>
      <c r="C63">
        <f>STAFFWELFARE!I63</f>
        <v>46080</v>
      </c>
      <c r="D63">
        <f>SALARY!I64</f>
        <v>3600</v>
      </c>
      <c r="E63">
        <f>SALARY!K64</f>
        <v>3600</v>
      </c>
      <c r="F63">
        <f>SALARY!J64</f>
        <v>1440</v>
      </c>
    </row>
    <row r="64" spans="1:6" x14ac:dyDescent="0.25">
      <c r="A64">
        <v>57</v>
      </c>
      <c r="B64" t="str">
        <f>STAFFWELFARE!B64</f>
        <v>KEMI</v>
      </c>
      <c r="C64">
        <f>STAFFWELFARE!I64</f>
        <v>31416</v>
      </c>
      <c r="D64">
        <f>SALARY!I65</f>
        <v>2310</v>
      </c>
      <c r="E64">
        <f>SALARY!K65</f>
        <v>2310</v>
      </c>
      <c r="F64">
        <f>SALARY!J65</f>
        <v>924</v>
      </c>
    </row>
    <row r="65" spans="1:6" x14ac:dyDescent="0.25">
      <c r="A65">
        <v>58</v>
      </c>
      <c r="B65" t="str">
        <f>STAFFWELFARE!B65</f>
        <v>TOLANI</v>
      </c>
      <c r="C65">
        <f>STAFFWELFARE!I65</f>
        <v>48960</v>
      </c>
      <c r="D65">
        <f>SALARY!I66</f>
        <v>3600</v>
      </c>
      <c r="E65">
        <f>SALARY!K66</f>
        <v>3600</v>
      </c>
      <c r="F65">
        <f>SALARY!J66</f>
        <v>1440</v>
      </c>
    </row>
    <row r="66" spans="1:6" x14ac:dyDescent="0.25">
      <c r="A66">
        <v>59</v>
      </c>
      <c r="B66" t="str">
        <f>STAFFWELFARE!B66</f>
        <v>ENIOLA</v>
      </c>
      <c r="C66">
        <f>STAFFWELFARE!I66</f>
        <v>48960</v>
      </c>
      <c r="D66">
        <f>SALARY!I67</f>
        <v>3600</v>
      </c>
      <c r="E66">
        <f>SALARY!K67</f>
        <v>3600</v>
      </c>
      <c r="F66">
        <f>SALARY!J67</f>
        <v>1440</v>
      </c>
    </row>
    <row r="67" spans="1:6" x14ac:dyDescent="0.25">
      <c r="A67">
        <v>60</v>
      </c>
      <c r="B67" t="str">
        <f>STAFFWELFARE!B67</f>
        <v>VICKY</v>
      </c>
      <c r="C67">
        <f>STAFFWELFARE!I67</f>
        <v>48960</v>
      </c>
      <c r="D67">
        <f>SALARY!I68</f>
        <v>3600</v>
      </c>
      <c r="E67">
        <f>SALARY!K68</f>
        <v>3600</v>
      </c>
      <c r="F67">
        <f>SALARY!J68</f>
        <v>1440</v>
      </c>
    </row>
    <row r="68" spans="1:6" x14ac:dyDescent="0.25">
      <c r="A68">
        <v>61</v>
      </c>
      <c r="B68" t="str">
        <f>STAFFWELFARE!B68</f>
        <v>ESSIE</v>
      </c>
      <c r="C68">
        <f>STAFFWELFARE!I68</f>
        <v>48960</v>
      </c>
      <c r="D68">
        <f>SALARY!I69</f>
        <v>3600</v>
      </c>
      <c r="E68">
        <f>SALARY!K69</f>
        <v>3600</v>
      </c>
      <c r="F68">
        <f>SALARY!J69</f>
        <v>1440</v>
      </c>
    </row>
    <row r="69" spans="1:6" x14ac:dyDescent="0.25">
      <c r="A69">
        <v>62</v>
      </c>
      <c r="B69" t="str">
        <f>STAFFWELFARE!B69</f>
        <v>ELIZABETH</v>
      </c>
      <c r="C69">
        <f>STAFFWELFARE!I69</f>
        <v>43200</v>
      </c>
      <c r="D69">
        <f>SALARY!I70</f>
        <v>3375</v>
      </c>
      <c r="E69">
        <f>SALARY!K70</f>
        <v>3375</v>
      </c>
      <c r="F69">
        <f>SALARY!J70</f>
        <v>1350</v>
      </c>
    </row>
    <row r="70" spans="1:6" x14ac:dyDescent="0.25">
      <c r="A70">
        <v>63</v>
      </c>
      <c r="B70" t="str">
        <f>STAFFWELFARE!B70</f>
        <v>LOVETH</v>
      </c>
      <c r="C70">
        <f>STAFFWELFARE!I70</f>
        <v>46080</v>
      </c>
      <c r="D70">
        <f>SALARY!I71</f>
        <v>3600</v>
      </c>
      <c r="E70">
        <f>SALARY!K71</f>
        <v>3600</v>
      </c>
      <c r="F70">
        <f>SALARY!J71</f>
        <v>1440</v>
      </c>
    </row>
    <row r="71" spans="1:6" x14ac:dyDescent="0.25">
      <c r="A71">
        <v>64</v>
      </c>
      <c r="B71" t="str">
        <f>STAFFWELFARE!B71</f>
        <v>NIFEMI</v>
      </c>
      <c r="C71">
        <f>STAFFWELFARE!I71</f>
        <v>46080</v>
      </c>
      <c r="D71">
        <f>SALARY!I72</f>
        <v>3600</v>
      </c>
      <c r="E71">
        <f>SALARY!K72</f>
        <v>3600</v>
      </c>
      <c r="F71">
        <f>SALARY!J72</f>
        <v>1440</v>
      </c>
    </row>
    <row r="72" spans="1:6" x14ac:dyDescent="0.25">
      <c r="A72">
        <v>65</v>
      </c>
      <c r="B72" t="str">
        <f>STAFFWELFARE!B72</f>
        <v>BANKOLE</v>
      </c>
      <c r="C72">
        <f>STAFFWELFARE!I72</f>
        <v>46080</v>
      </c>
      <c r="D72">
        <f>SALARY!I73</f>
        <v>3600</v>
      </c>
      <c r="E72">
        <f>SALARY!K73</f>
        <v>3600</v>
      </c>
      <c r="F72">
        <f>SALARY!J73</f>
        <v>1440</v>
      </c>
    </row>
    <row r="73" spans="1:6" x14ac:dyDescent="0.25">
      <c r="A73">
        <v>66</v>
      </c>
      <c r="B73" t="str">
        <f>STAFFWELFARE!B73</f>
        <v>JOHN</v>
      </c>
      <c r="C73">
        <f>STAFFWELFARE!I73</f>
        <v>46080</v>
      </c>
      <c r="D73">
        <f>SALARY!I74</f>
        <v>3600</v>
      </c>
      <c r="E73">
        <f>SALARY!K74</f>
        <v>3600</v>
      </c>
      <c r="F73">
        <f>SALARY!J74</f>
        <v>1440</v>
      </c>
    </row>
    <row r="74" spans="1:6" x14ac:dyDescent="0.25">
      <c r="A74">
        <v>67</v>
      </c>
      <c r="B74" t="str">
        <f>STAFFWELFARE!B74</f>
        <v>TOLU</v>
      </c>
      <c r="C74">
        <f>STAFFWELFARE!I74</f>
        <v>46080</v>
      </c>
      <c r="D74">
        <f>SALARY!I75</f>
        <v>3600</v>
      </c>
      <c r="E74">
        <f>SALARY!K75</f>
        <v>3600</v>
      </c>
      <c r="F74">
        <f>SALARY!J75</f>
        <v>1440</v>
      </c>
    </row>
    <row r="75" spans="1:6" x14ac:dyDescent="0.25">
      <c r="A75">
        <v>68</v>
      </c>
      <c r="B75" t="str">
        <f>STAFFWELFARE!B75</f>
        <v>TAYO</v>
      </c>
      <c r="C75">
        <f>STAFFWELFARE!I75</f>
        <v>31416</v>
      </c>
      <c r="D75">
        <f>SALARY!I76</f>
        <v>2310</v>
      </c>
      <c r="E75">
        <f>SALARY!K76</f>
        <v>2310</v>
      </c>
      <c r="F75">
        <f>SALARY!J76</f>
        <v>924</v>
      </c>
    </row>
    <row r="76" spans="1:6" x14ac:dyDescent="0.25">
      <c r="A76">
        <v>69</v>
      </c>
      <c r="B76" t="str">
        <f>STAFFWELFARE!B76</f>
        <v>YEMI</v>
      </c>
      <c r="C76">
        <f>STAFFWELFARE!I76</f>
        <v>48960</v>
      </c>
      <c r="D76">
        <f>SALARY!I77</f>
        <v>3600</v>
      </c>
      <c r="E76">
        <f>SALARY!K77</f>
        <v>3600</v>
      </c>
      <c r="F76">
        <f>SALARY!J77</f>
        <v>1440</v>
      </c>
    </row>
    <row r="77" spans="1:6" x14ac:dyDescent="0.25">
      <c r="A77">
        <v>70</v>
      </c>
      <c r="B77" t="str">
        <f>STAFFWELFARE!B77</f>
        <v>AYOBAMI</v>
      </c>
      <c r="C77">
        <f>STAFFWELFARE!I77</f>
        <v>48960</v>
      </c>
      <c r="D77">
        <f>SALARY!I78</f>
        <v>3600</v>
      </c>
      <c r="E77">
        <f>SALARY!K78</f>
        <v>3600</v>
      </c>
      <c r="F77">
        <f>SALARY!J78</f>
        <v>1440</v>
      </c>
    </row>
    <row r="78" spans="1:6" x14ac:dyDescent="0.25">
      <c r="A78">
        <v>71</v>
      </c>
      <c r="B78" t="str">
        <f>STAFFWELFARE!B78</f>
        <v>DOYIN</v>
      </c>
      <c r="C78">
        <f>STAFFWELFARE!I78</f>
        <v>26928</v>
      </c>
      <c r="D78">
        <f>SALARY!I79</f>
        <v>1980</v>
      </c>
      <c r="E78">
        <f>SALARY!K79</f>
        <v>1980</v>
      </c>
      <c r="F78">
        <f>SALARY!J79</f>
        <v>792</v>
      </c>
    </row>
    <row r="79" spans="1:6" x14ac:dyDescent="0.25">
      <c r="A79">
        <v>72</v>
      </c>
      <c r="B79" t="str">
        <f>STAFFWELFARE!B79</f>
        <v>FESTUS</v>
      </c>
      <c r="C79">
        <f>STAFFWELFARE!I79</f>
        <v>43200</v>
      </c>
      <c r="D79">
        <f>SALARY!I80</f>
        <v>3375</v>
      </c>
      <c r="E79">
        <f>SALARY!K80</f>
        <v>3375</v>
      </c>
      <c r="F79">
        <f>SALARY!J80</f>
        <v>1350</v>
      </c>
    </row>
    <row r="80" spans="1:6" x14ac:dyDescent="0.25">
      <c r="A80">
        <v>73</v>
      </c>
      <c r="B80" t="str">
        <f>STAFFWELFARE!B80</f>
        <v>SEGUN</v>
      </c>
      <c r="C80">
        <f>STAFFWELFARE!I80</f>
        <v>48960</v>
      </c>
      <c r="D80">
        <f>SALARY!I81</f>
        <v>3600</v>
      </c>
      <c r="E80">
        <f>SALARY!K81</f>
        <v>3600</v>
      </c>
      <c r="F80">
        <f>SALARY!J81</f>
        <v>1440</v>
      </c>
    </row>
    <row r="81" spans="1:6" x14ac:dyDescent="0.25">
      <c r="A81">
        <v>74</v>
      </c>
      <c r="B81" t="str">
        <f>STAFFWELFARE!B81</f>
        <v>FUNMI</v>
      </c>
      <c r="C81">
        <f>STAFFWELFARE!I81</f>
        <v>46080</v>
      </c>
      <c r="D81">
        <f>SALARY!I82</f>
        <v>3600</v>
      </c>
      <c r="E81">
        <f>SALARY!K82</f>
        <v>3600</v>
      </c>
      <c r="F81">
        <f>SALARY!J82</f>
        <v>1440</v>
      </c>
    </row>
    <row r="82" spans="1:6" x14ac:dyDescent="0.25">
      <c r="A82">
        <v>75</v>
      </c>
      <c r="B82" t="str">
        <f>STAFFWELFARE!B82</f>
        <v>FARIDAT</v>
      </c>
      <c r="C82">
        <f>STAFFWELFARE!I82</f>
        <v>46080</v>
      </c>
      <c r="D82">
        <f>SALARY!I83</f>
        <v>3600</v>
      </c>
      <c r="E82">
        <f>SALARY!K83</f>
        <v>3600</v>
      </c>
      <c r="F82">
        <f>SALARY!J83</f>
        <v>1440</v>
      </c>
    </row>
    <row r="83" spans="1:6" x14ac:dyDescent="0.25">
      <c r="A83">
        <v>76</v>
      </c>
      <c r="B83" t="str">
        <f>STAFFWELFARE!B83</f>
        <v>FEYI</v>
      </c>
      <c r="C83">
        <f>STAFFWELFARE!I83</f>
        <v>46080</v>
      </c>
      <c r="D83">
        <f>SALARY!I84</f>
        <v>3600</v>
      </c>
      <c r="E83">
        <f>SALARY!K84</f>
        <v>3600</v>
      </c>
      <c r="F83">
        <f>SALARY!J84</f>
        <v>1440</v>
      </c>
    </row>
    <row r="84" spans="1:6" x14ac:dyDescent="0.25">
      <c r="A84">
        <v>77</v>
      </c>
      <c r="B84" t="str">
        <f>STAFFWELFARE!B84</f>
        <v>STEFFY</v>
      </c>
      <c r="C84">
        <f>STAFFWELFARE!I84</f>
        <v>46080</v>
      </c>
      <c r="D84">
        <f>SALARY!I85</f>
        <v>3600</v>
      </c>
      <c r="E84">
        <f>SALARY!K85</f>
        <v>3600</v>
      </c>
      <c r="F84">
        <f>SALARY!J85</f>
        <v>1440</v>
      </c>
    </row>
    <row r="85" spans="1:6" x14ac:dyDescent="0.25">
      <c r="A85">
        <v>78</v>
      </c>
      <c r="B85" t="str">
        <f>STAFFWELFARE!B85</f>
        <v>LAMIDE</v>
      </c>
      <c r="C85">
        <f>STAFFWELFARE!I85</f>
        <v>43200</v>
      </c>
      <c r="D85">
        <f>SALARY!I86</f>
        <v>3375</v>
      </c>
      <c r="E85">
        <f>SALARY!K86</f>
        <v>3375</v>
      </c>
      <c r="F85">
        <f>SALARY!J86</f>
        <v>1350</v>
      </c>
    </row>
    <row r="86" spans="1:6" x14ac:dyDescent="0.25">
      <c r="A86">
        <v>79</v>
      </c>
      <c r="B86" t="str">
        <f>STAFFWELFARE!B86</f>
        <v>NIMI</v>
      </c>
      <c r="C86">
        <f>STAFFWELFARE!I86</f>
        <v>48960</v>
      </c>
      <c r="D86">
        <f>SALARY!I87</f>
        <v>3600</v>
      </c>
      <c r="E86">
        <f>SALARY!K87</f>
        <v>3600</v>
      </c>
      <c r="F86">
        <f>SALARY!J87</f>
        <v>1440</v>
      </c>
    </row>
    <row r="87" spans="1:6" x14ac:dyDescent="0.25">
      <c r="A87">
        <v>80</v>
      </c>
      <c r="B87" t="str">
        <f>STAFFWELFARE!B87</f>
        <v>ALO</v>
      </c>
      <c r="C87">
        <f>STAFFWELFARE!I87</f>
        <v>26928</v>
      </c>
      <c r="D87">
        <f>SALARY!I88</f>
        <v>1980</v>
      </c>
      <c r="E87">
        <f>SALARY!K88</f>
        <v>1980</v>
      </c>
      <c r="F87">
        <f>SALARY!J88</f>
        <v>792</v>
      </c>
    </row>
    <row r="88" spans="1:6" s="2" customFormat="1" x14ac:dyDescent="0.25">
      <c r="B88" s="2" t="s">
        <v>108</v>
      </c>
      <c r="C88" s="2">
        <f>SUM(C8:C87)</f>
        <v>3331602</v>
      </c>
      <c r="D88" s="2">
        <f t="shared" ref="D88:F88" si="0">SUM(D8:D87)</f>
        <v>254407.5</v>
      </c>
      <c r="E88" s="2">
        <f t="shared" si="0"/>
        <v>254407.5</v>
      </c>
      <c r="F88" s="2">
        <f t="shared" si="0"/>
        <v>101763</v>
      </c>
    </row>
  </sheetData>
  <mergeCells count="2">
    <mergeCell ref="F1:O5"/>
    <mergeCell ref="K7:P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EMPLOYEEDATA</vt:lpstr>
      <vt:lpstr>SALARY</vt:lpstr>
      <vt:lpstr>SALARYSUMMARY</vt:lpstr>
      <vt:lpstr>STAFFWELFARE</vt:lpstr>
      <vt:lpstr>EXECUTIVESUMMARY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runseweifeoluwa2021@gmail.com</dc:creator>
  <cp:lastModifiedBy>runseweifeoluwa2021@gmail.com</cp:lastModifiedBy>
  <dcterms:created xsi:type="dcterms:W3CDTF">2026-01-16T17:22:31Z</dcterms:created>
  <dcterms:modified xsi:type="dcterms:W3CDTF">2026-02-19T15:06:52Z</dcterms:modified>
</cp:coreProperties>
</file>